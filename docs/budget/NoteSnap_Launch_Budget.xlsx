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I Cost Breakdown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Pricing Models" sheetId="4" state="visible" r:id="rId4"/>
    <sheet xmlns:r="http://schemas.openxmlformats.org/officeDocument/2006/relationships" name="12-Month Cash Flow" sheetId="5" state="visible" r:id="rId5"/>
    <sheet xmlns:r="http://schemas.openxmlformats.org/officeDocument/2006/relationships" name="Launch Plan" sheetId="6" state="visible" r:id="rId6"/>
    <sheet xmlns:r="http://schemas.openxmlformats.org/officeDocument/2006/relationships" name="Risk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;($#,##0);&quot;-&quot;"/>
    <numFmt numFmtId="166" formatCode="$#,##0.00"/>
    <numFmt numFmtId="167" formatCode="$#,##0.000"/>
    <numFmt numFmtId="168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0"/>
    </font>
    <font>
      <name val="Arial"/>
      <b val="1"/>
      <color rgb="001B2A4A"/>
      <sz val="11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i val="1"/>
      <sz val="10"/>
    </font>
    <font>
      <name val="Arial"/>
      <color rgb="00888888"/>
      <sz val="9"/>
    </font>
    <font>
      <name val="Arial"/>
      <color rgb="00666666"/>
      <sz val="9"/>
    </font>
    <font>
      <name val="Arial"/>
      <i val="1"/>
      <color rgb="00666666"/>
      <sz val="9"/>
    </font>
    <font>
      <name val="Arial"/>
      <i val="1"/>
      <sz val="9"/>
    </font>
    <font>
      <name val="Arial"/>
      <b val="1"/>
      <color rgb="00008000"/>
    </font>
    <font>
      <name val="Arial"/>
      <b val="1"/>
    </font>
    <font>
      <name val="Arial"/>
      <b val="1"/>
      <color rgb="00FF0000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color rgb="00666666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DF5"/>
      </patternFill>
    </fill>
    <fill>
      <patternFill patternType="solid">
        <fgColor rgb="002C3E6B"/>
      </patternFill>
    </fill>
    <fill>
      <patternFill patternType="solid">
        <fgColor rgb="00FFFFF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164" fontId="6" fillId="0" borderId="0" pivotButton="0" quotePrefix="0" xfId="0"/>
    <xf numFmtId="164" fontId="2" fillId="3" borderId="0" pivotButton="0" quotePrefix="0" xfId="0"/>
    <xf numFmtId="165" fontId="7" fillId="0" borderId="0" pivotButton="0" quotePrefix="0" xfId="0"/>
    <xf numFmtId="0" fontId="8" fillId="0" borderId="0" pivotButton="0" quotePrefix="0" xfId="0"/>
    <xf numFmtId="166" fontId="6" fillId="5" borderId="0" pivotButton="0" quotePrefix="0" xfId="0"/>
    <xf numFmtId="3" fontId="6" fillId="5" borderId="0" pivotButton="0" quotePrefix="0" xfId="0"/>
    <xf numFmtId="167" fontId="7" fillId="0" borderId="0" pivotButton="0" quotePrefix="0" xfId="0"/>
    <xf numFmtId="0" fontId="9" fillId="0" borderId="0" pivotButton="0" quotePrefix="0" xfId="0"/>
    <xf numFmtId="0" fontId="6" fillId="5" borderId="0" pivotButton="0" quotePrefix="0" xfId="0"/>
    <xf numFmtId="166" fontId="7" fillId="0" borderId="0" pivotButton="0" quotePrefix="0" xfId="0"/>
    <xf numFmtId="0" fontId="2" fillId="3" borderId="0" pivotButton="0" quotePrefix="0" xfId="0"/>
    <xf numFmtId="166" fontId="2" fillId="3" borderId="0" pivotButton="0" quotePrefix="0" xfId="0"/>
    <xf numFmtId="3" fontId="7" fillId="0" borderId="0" pivotButton="0" quotePrefix="0" xfId="0"/>
    <xf numFmtId="164" fontId="7" fillId="0" borderId="0" pivotButton="0" quotePrefix="0" xfId="0"/>
    <xf numFmtId="164" fontId="6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6" borderId="0" pivotButton="0" quotePrefix="0" xfId="0"/>
    <xf numFmtId="164" fontId="2" fillId="6" borderId="0" pivotButton="0" quotePrefix="0" xfId="0"/>
    <xf numFmtId="0" fontId="2" fillId="7" borderId="0" pivotButton="0" quotePrefix="0" xfId="0"/>
    <xf numFmtId="164" fontId="7" fillId="7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168" fontId="6" fillId="5" borderId="0" pivotButton="0" quotePrefix="0" xfId="0"/>
    <xf numFmtId="0" fontId="7" fillId="0" borderId="0" pivotButton="0" quotePrefix="0" xfId="0"/>
    <xf numFmtId="164" fontId="13" fillId="6" borderId="0" pivotButton="0" quotePrefix="0" xfId="0"/>
    <xf numFmtId="164" fontId="14" fillId="6" borderId="0" pivotButton="0" quotePrefix="0" xfId="0"/>
    <xf numFmtId="164" fontId="15" fillId="7" borderId="0" pivotButton="0" quotePrefix="0" xfId="0"/>
    <xf numFmtId="164" fontId="14" fillId="7" borderId="0" pivotButton="0" quotePrefix="0" xfId="0"/>
    <xf numFmtId="0" fontId="16" fillId="8" borderId="0" pivotButton="0" quotePrefix="0" xfId="0"/>
    <xf numFmtId="165" fontId="2" fillId="8" borderId="0" pivotButton="0" quotePrefix="0" xfId="0"/>
    <xf numFmtId="165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3" fillId="9" borderId="0" pivotButton="0" quotePrefix="0" xfId="0"/>
    <xf numFmtId="0" fontId="3" fillId="7" borderId="0" pivotButton="0" quotePrefix="0" xfId="0"/>
    <xf numFmtId="0" fontId="19" fillId="0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40" customHeight="1">
      <c r="B1" s="1" t="inlineStr">
        <is>
          <t>NoteSnap — Product Launch Budget &amp; Cash Flow Model</t>
        </is>
      </c>
      <c r="C1" s="2" t="n"/>
      <c r="D1" s="2" t="n"/>
      <c r="E1" s="2" t="n"/>
      <c r="F1" s="2" t="n"/>
      <c r="G1" s="2" t="n"/>
    </row>
    <row r="3">
      <c r="B3" s="3" t="inlineStr">
        <is>
          <t>Prepared for:</t>
        </is>
      </c>
      <c r="C3" s="4" t="inlineStr">
        <is>
          <t>Executive Management</t>
        </is>
      </c>
    </row>
    <row r="4">
      <c r="B4" s="3" t="inlineStr">
        <is>
          <t>Date:</t>
        </is>
      </c>
      <c r="C4" s="4" t="inlineStr">
        <is>
          <t>March 2026</t>
        </is>
      </c>
    </row>
    <row r="5">
      <c r="B5" s="3" t="inlineStr">
        <is>
          <t>Product:</t>
        </is>
      </c>
      <c r="C5" s="4" t="inlineStr">
        <is>
          <t>NoteSnap — AI-Powered Learning Platform</t>
        </is>
      </c>
    </row>
    <row r="6">
      <c r="B6" s="3" t="inlineStr">
        <is>
          <t>Market:</t>
        </is>
      </c>
      <c r="C6" s="4" t="inlineStr">
        <is>
          <t>Global (English + Hebrew)</t>
        </is>
      </c>
    </row>
    <row r="7">
      <c r="B7" s="3" t="inlineStr">
        <is>
          <t>Timeline:</t>
        </is>
      </c>
      <c r="C7" s="4" t="inlineStr">
        <is>
          <t>4-8 weeks to launch</t>
        </is>
      </c>
    </row>
    <row r="11">
      <c r="B11" s="5" t="inlineStr">
        <is>
          <t>Monthly Cost Summary by User Scale (Mixed Activity)</t>
        </is>
      </c>
      <c r="C11" s="6" t="n"/>
      <c r="D11" s="6" t="n"/>
      <c r="E11" s="6" t="n"/>
      <c r="F11" s="6" t="n"/>
      <c r="G11" s="6" t="n"/>
    </row>
    <row r="12">
      <c r="A12" s="7" t="n"/>
      <c r="B12" s="7" t="inlineStr"/>
      <c r="C12" s="7" t="inlineStr">
        <is>
          <t>50 Users</t>
        </is>
      </c>
      <c r="D12" s="7" t="inlineStr">
        <is>
          <t>100 Users</t>
        </is>
      </c>
      <c r="E12" s="7" t="inlineStr">
        <is>
          <t>500 Users</t>
        </is>
      </c>
      <c r="F12" s="7" t="inlineStr">
        <is>
          <t>1,000 Users</t>
        </is>
      </c>
      <c r="G12" s="7" t="inlineStr">
        <is>
          <t>5,000 Users</t>
        </is>
      </c>
    </row>
    <row r="13" ht="20" customHeight="1">
      <c r="B13" s="4" t="inlineStr">
        <is>
          <t>Claude AI API (avg mix)</t>
        </is>
      </c>
      <c r="C13" s="8" t="n">
        <v>665</v>
      </c>
      <c r="D13" s="8" t="n">
        <v>1330</v>
      </c>
      <c r="E13" s="8" t="n">
        <v>6650</v>
      </c>
      <c r="F13" s="8" t="n">
        <v>13300</v>
      </c>
      <c r="G13" s="8" t="n">
        <v>66500</v>
      </c>
    </row>
    <row r="14" ht="20" customHeight="1">
      <c r="B14" s="4" t="inlineStr">
        <is>
          <t>Supabase (DB/Auth/Storage)</t>
        </is>
      </c>
      <c r="C14" s="8" t="n">
        <v>0</v>
      </c>
      <c r="D14" s="8" t="n">
        <v>0</v>
      </c>
      <c r="E14" s="8" t="n">
        <v>25</v>
      </c>
      <c r="F14" s="8" t="n">
        <v>25</v>
      </c>
      <c r="G14" s="8" t="n">
        <v>599</v>
      </c>
    </row>
    <row r="15" ht="20" customHeight="1">
      <c r="B15" s="4" t="inlineStr">
        <is>
          <t>Vercel Hosting (Pro)</t>
        </is>
      </c>
      <c r="C15" s="8" t="n">
        <v>20</v>
      </c>
      <c r="D15" s="8" t="n">
        <v>20</v>
      </c>
      <c r="E15" s="8" t="n">
        <v>20</v>
      </c>
      <c r="F15" s="8" t="n">
        <v>20</v>
      </c>
      <c r="G15" s="8" t="n">
        <v>20</v>
      </c>
    </row>
    <row r="16" ht="20" customHeight="1">
      <c r="B16" s="4" t="inlineStr">
        <is>
          <t>Recraft API (Diagrams)</t>
        </is>
      </c>
      <c r="C16" s="8" t="n">
        <v>12</v>
      </c>
      <c r="D16" s="8" t="n">
        <v>24</v>
      </c>
      <c r="E16" s="8" t="n">
        <v>120</v>
      </c>
      <c r="F16" s="8" t="n">
        <v>240</v>
      </c>
      <c r="G16" s="8" t="n">
        <v>1200</v>
      </c>
    </row>
    <row r="17" ht="20" customHeight="1">
      <c r="B17" s="4" t="inlineStr">
        <is>
          <t>E2B Sandbox (Compute)</t>
        </is>
      </c>
      <c r="C17" s="8" t="n">
        <v>5</v>
      </c>
      <c r="D17" s="8" t="n">
        <v>10</v>
      </c>
      <c r="E17" s="8" t="n">
        <v>50</v>
      </c>
      <c r="F17" s="8" t="n">
        <v>100</v>
      </c>
      <c r="G17" s="8" t="n">
        <v>500</v>
      </c>
    </row>
    <row r="18" ht="20" customHeight="1">
      <c r="B18" s="4" t="inlineStr">
        <is>
          <t>Resend (Email)</t>
        </is>
      </c>
      <c r="C18" s="8" t="n">
        <v>0</v>
      </c>
      <c r="D18" s="8" t="n">
        <v>0</v>
      </c>
      <c r="E18" s="8" t="n">
        <v>20</v>
      </c>
      <c r="F18" s="8" t="n">
        <v>20</v>
      </c>
      <c r="G18" s="8" t="n">
        <v>20</v>
      </c>
    </row>
    <row r="19" ht="20" customHeight="1">
      <c r="B19" s="4" t="inlineStr">
        <is>
          <t>Domain + SSL</t>
        </is>
      </c>
      <c r="C19" s="8" t="n">
        <v>1.25</v>
      </c>
      <c r="D19" s="8" t="n">
        <v>1.25</v>
      </c>
      <c r="E19" s="8" t="n">
        <v>1.25</v>
      </c>
      <c r="F19" s="8" t="n">
        <v>1.25</v>
      </c>
      <c r="G19" s="8" t="n">
        <v>1.25</v>
      </c>
    </row>
    <row r="20">
      <c r="B20" s="4" t="inlineStr">
        <is>
          <t>Marketing &amp; Growth/month</t>
        </is>
      </c>
      <c r="C20" s="8" t="n">
        <v>500</v>
      </c>
      <c r="D20" s="8" t="n">
        <v>1000</v>
      </c>
      <c r="E20" s="8" t="n">
        <v>3000</v>
      </c>
      <c r="F20" s="8" t="n">
        <v>5000</v>
      </c>
      <c r="G20" s="8" t="n">
        <v>15000</v>
      </c>
    </row>
    <row r="21">
      <c r="B21" s="4" t="inlineStr">
        <is>
          <t>Contractors &amp; Professionals/month</t>
        </is>
      </c>
      <c r="C21" s="8" t="n">
        <v>2000</v>
      </c>
      <c r="D21" s="8" t="n">
        <v>2000</v>
      </c>
      <c r="E21" s="8" t="n">
        <v>3000</v>
      </c>
      <c r="F21" s="8" t="n">
        <v>5000</v>
      </c>
      <c r="G21" s="8" t="n">
        <v>10000</v>
      </c>
    </row>
    <row r="22">
      <c r="B22" s="5" t="inlineStr">
        <is>
          <t>TOTAL Monthly Cost</t>
        </is>
      </c>
      <c r="C22" s="9">
        <f>SUM(C13:C21)</f>
        <v/>
      </c>
      <c r="D22" s="9">
        <f>SUM(D13:D21)</f>
        <v/>
      </c>
      <c r="E22" s="9">
        <f>SUM(E13:E21)</f>
        <v/>
      </c>
      <c r="F22" s="9">
        <f>SUM(F13:F21)</f>
        <v/>
      </c>
      <c r="G22" s="9">
        <f>SUM(G13:G21)</f>
        <v/>
      </c>
    </row>
    <row r="24">
      <c r="B24" s="5" t="inlineStr">
        <is>
          <t>Revenue Scenarios (Monthly) — see Pricing Models sheet for detail</t>
        </is>
      </c>
      <c r="C24" s="6" t="n"/>
      <c r="D24" s="6" t="n"/>
      <c r="E24" s="6" t="n"/>
      <c r="F24" s="6" t="n"/>
      <c r="G24" s="6" t="n"/>
    </row>
    <row r="25">
      <c r="A25" s="7" t="n"/>
      <c r="B25" s="7" t="inlineStr">
        <is>
          <t>Pricing Model</t>
        </is>
      </c>
      <c r="C25" s="7" t="inlineStr">
        <is>
          <t>50 Users</t>
        </is>
      </c>
      <c r="D25" s="7" t="inlineStr">
        <is>
          <t>100 Users</t>
        </is>
      </c>
      <c r="E25" s="7" t="inlineStr">
        <is>
          <t>500 Users</t>
        </is>
      </c>
      <c r="F25" s="7" t="inlineStr">
        <is>
          <t>1,000 Users</t>
        </is>
      </c>
      <c r="G25" s="7" t="inlineStr">
        <is>
          <t>5,000 Users</t>
        </is>
      </c>
    </row>
    <row r="26">
      <c r="B26" s="4" t="inlineStr">
        <is>
          <t>A: Freemium ($0 / $9.99 / $19.99)</t>
        </is>
      </c>
      <c r="C26" s="8" t="n">
        <v>100</v>
      </c>
      <c r="D26" s="8" t="n">
        <v>300</v>
      </c>
      <c r="E26" s="8" t="n">
        <v>2500</v>
      </c>
      <c r="F26" s="8" t="n">
        <v>6000</v>
      </c>
      <c r="G26" s="8" t="n">
        <v>35000</v>
      </c>
    </row>
    <row r="27">
      <c r="B27" s="4" t="inlineStr">
        <is>
          <t>B: Subscription ($9.99 / $19.99)</t>
        </is>
      </c>
      <c r="C27" s="8" t="n">
        <v>250</v>
      </c>
      <c r="D27" s="8" t="n">
        <v>600</v>
      </c>
      <c r="E27" s="8" t="n">
        <v>4000</v>
      </c>
      <c r="F27" s="8" t="n">
        <v>9000</v>
      </c>
      <c r="G27" s="8" t="n">
        <v>50000</v>
      </c>
    </row>
    <row r="28">
      <c r="B28" s="4" t="inlineStr">
        <is>
          <t>C: Pay-per-Use (credits)</t>
        </is>
      </c>
      <c r="C28" s="8" t="n">
        <v>150</v>
      </c>
      <c r="D28" s="8" t="n">
        <v>400</v>
      </c>
      <c r="E28" s="8" t="n">
        <v>3000</v>
      </c>
      <c r="F28" s="8" t="n">
        <v>7000</v>
      </c>
      <c r="G28" s="8" t="n">
        <v>40000</v>
      </c>
    </row>
    <row r="29">
      <c r="B29" s="4" t="inlineStr">
        <is>
          <t>D: Free (no revenue)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1">
      <c r="B31" s="5" t="inlineStr">
        <is>
          <t>Net Monthly Profit/(Loss) by Model</t>
        </is>
      </c>
      <c r="C31" s="6" t="n"/>
      <c r="D31" s="6" t="n"/>
      <c r="E31" s="6" t="n"/>
      <c r="F31" s="6" t="n"/>
      <c r="G31" s="6" t="n"/>
    </row>
    <row r="32">
      <c r="B32" s="4" t="inlineStr">
        <is>
          <t>A: Freemium ($0 / $9.99 / $19.99)</t>
        </is>
      </c>
      <c r="C32" s="10">
        <f>C26-C22</f>
        <v/>
      </c>
      <c r="D32" s="10">
        <f>D26-D22</f>
        <v/>
      </c>
      <c r="E32" s="10">
        <f>E26-E22</f>
        <v/>
      </c>
      <c r="F32" s="10">
        <f>F26-F22</f>
        <v/>
      </c>
      <c r="G32" s="10">
        <f>G26-G22</f>
        <v/>
      </c>
    </row>
    <row r="33">
      <c r="B33" s="4" t="inlineStr">
        <is>
          <t>B: Subscription ($9.99 / $19.99)</t>
        </is>
      </c>
      <c r="C33" s="10">
        <f>C28-C22</f>
        <v/>
      </c>
      <c r="D33" s="10">
        <f>D28-D22</f>
        <v/>
      </c>
      <c r="E33" s="10">
        <f>E28-E22</f>
        <v/>
      </c>
      <c r="F33" s="10">
        <f>F28-F22</f>
        <v/>
      </c>
      <c r="G33" s="10">
        <f>G28-G22</f>
        <v/>
      </c>
    </row>
    <row r="34">
      <c r="B34" s="4" t="inlineStr">
        <is>
          <t>C: Pay-per-Use (credits)</t>
        </is>
      </c>
      <c r="C34" s="10">
        <f>C30-C22</f>
        <v/>
      </c>
      <c r="D34" s="10">
        <f>D30-D22</f>
        <v/>
      </c>
      <c r="E34" s="10">
        <f>E30-E22</f>
        <v/>
      </c>
      <c r="F34" s="10">
        <f>F30-F22</f>
        <v/>
      </c>
      <c r="G34" s="10">
        <f>G30-G22</f>
        <v/>
      </c>
    </row>
    <row r="35">
      <c r="B35" s="4" t="inlineStr">
        <is>
          <t>D: Free (no revenue)</t>
        </is>
      </c>
      <c r="C35" s="10">
        <f>C32-C22</f>
        <v/>
      </c>
      <c r="D35" s="10">
        <f>D32-D22</f>
        <v/>
      </c>
      <c r="E35" s="10">
        <f>E32-E22</f>
        <v/>
      </c>
      <c r="F35" s="10">
        <f>F32-F22</f>
        <v/>
      </c>
      <c r="G35" s="10">
        <f>G32-G22</f>
        <v/>
      </c>
    </row>
    <row r="38">
      <c r="B38" s="5" t="inlineStr">
        <is>
          <t>Key Insight</t>
        </is>
      </c>
      <c r="C38" s="6" t="n"/>
      <c r="D38" s="6" t="n"/>
      <c r="E38" s="6" t="n"/>
      <c r="F38" s="6" t="n"/>
      <c r="G38" s="6" t="n"/>
    </row>
    <row r="39">
      <c r="B39" s="11" t="inlineStr">
        <is>
          <t>Break-even requires ~200-300 paying users on Subscription model (B).</t>
        </is>
      </c>
    </row>
    <row r="40">
      <c r="B40" s="11" t="inlineStr">
        <is>
          <t>Free model (D) is viable for up to ~100 users with total monthly cost under $3.5K.</t>
        </is>
      </c>
    </row>
  </sheetData>
  <mergeCells count="8">
    <mergeCell ref="B24:G24"/>
    <mergeCell ref="B38:G38"/>
    <mergeCell ref="B31:G31"/>
    <mergeCell ref="B1:G1"/>
    <mergeCell ref="B40:G40"/>
    <mergeCell ref="B22"/>
    <mergeCell ref="B39:G3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40" customHeight="1">
      <c r="B1" s="1" t="inlineStr">
        <is>
          <t>Claude API Cost Model — Per-Action Breakdown</t>
        </is>
      </c>
      <c r="C1" s="2" t="n"/>
      <c r="D1" s="2" t="n"/>
      <c r="E1" s="2" t="n"/>
      <c r="F1" s="2" t="n"/>
      <c r="G1" s="2" t="n"/>
      <c r="H1" s="2" t="n"/>
      <c r="I1" s="2" t="n"/>
    </row>
    <row r="3">
      <c r="B3" s="5" t="inlineStr">
        <is>
          <t>Anthropic Claude Sonnet 4.6 Pricing</t>
        </is>
      </c>
      <c r="C3" s="6" t="n"/>
      <c r="D3" s="6" t="n"/>
      <c r="E3" s="6" t="n"/>
      <c r="F3" s="6" t="n"/>
      <c r="G3" s="6" t="n"/>
      <c r="H3" s="6" t="n"/>
      <c r="I3" s="6" t="n"/>
    </row>
    <row r="4">
      <c r="B4" s="4" t="inlineStr">
        <is>
          <t>Input tokens (per 1M)</t>
        </is>
      </c>
      <c r="C4" s="12" t="n">
        <v>3</v>
      </c>
    </row>
    <row r="5">
      <c r="B5" s="4" t="inlineStr">
        <is>
          <t>Output tokens (per 1M)</t>
        </is>
      </c>
      <c r="C5" s="12" t="n">
        <v>15</v>
      </c>
    </row>
    <row r="7">
      <c r="B7" s="5" t="inlineStr">
        <is>
          <t>Cost Per User Action</t>
        </is>
      </c>
      <c r="C7" s="6" t="n"/>
      <c r="D7" s="6" t="n"/>
      <c r="E7" s="6" t="n"/>
      <c r="F7" s="6" t="n"/>
      <c r="G7" s="6" t="n"/>
      <c r="H7" s="6" t="n"/>
      <c r="I7" s="6" t="n"/>
    </row>
    <row r="8">
      <c r="A8" s="7" t="n"/>
      <c r="B8" s="7" t="inlineStr">
        <is>
          <t>Action</t>
        </is>
      </c>
      <c r="C8" s="7" t="inlineStr">
        <is>
          <t>Input Tokens</t>
        </is>
      </c>
      <c r="D8" s="7" t="inlineStr">
        <is>
          <t>Output Tokens</t>
        </is>
      </c>
      <c r="E8" s="7" t="inlineStr">
        <is>
          <t>Input Cost</t>
        </is>
      </c>
      <c r="F8" s="7" t="inlineStr">
        <is>
          <t>Output Cost</t>
        </is>
      </c>
      <c r="G8" s="7" t="inlineStr">
        <is>
          <t>Total Cost/Action</t>
        </is>
      </c>
      <c r="H8" s="7" t="inlineStr">
        <is>
          <t>Source</t>
        </is>
      </c>
    </row>
    <row r="9">
      <c r="B9" s="4" t="inlineStr">
        <is>
          <t>Course Generation (upload→course)</t>
        </is>
      </c>
      <c r="C9" s="13" t="n">
        <v>8000</v>
      </c>
      <c r="D9" s="13" t="n">
        <v>16000</v>
      </c>
      <c r="E9" s="14">
        <f>C9/1000000*C4</f>
        <v/>
      </c>
      <c r="F9" s="14">
        <f>D9/1000000*C5</f>
        <v/>
      </c>
      <c r="G9" s="14">
        <f>E9+F9</f>
        <v/>
      </c>
      <c r="H9" s="15" t="inlineStr">
        <is>
          <t>Anthropic API</t>
        </is>
      </c>
    </row>
    <row r="10">
      <c r="B10" s="4" t="inlineStr">
        <is>
          <t>Lesson Expansion</t>
        </is>
      </c>
      <c r="C10" s="13" t="n">
        <v>4000</v>
      </c>
      <c r="D10" s="13" t="n">
        <v>8000</v>
      </c>
      <c r="E10" s="14">
        <f>C10/1000000*C4</f>
        <v/>
      </c>
      <c r="F10" s="14">
        <f>D10/1000000*C5</f>
        <v/>
      </c>
      <c r="G10" s="14">
        <f>E10+F10</f>
        <v/>
      </c>
      <c r="H10" s="15" t="inlineStr">
        <is>
          <t>Anthropic API</t>
        </is>
      </c>
    </row>
    <row r="11">
      <c r="B11" s="4" t="inlineStr">
        <is>
          <t>Homework Check</t>
        </is>
      </c>
      <c r="C11" s="13" t="n">
        <v>3000</v>
      </c>
      <c r="D11" s="13" t="n">
        <v>4000</v>
      </c>
      <c r="E11" s="14">
        <f>C11/1000000*C4</f>
        <v/>
      </c>
      <c r="F11" s="14">
        <f>D11/1000000*C5</f>
        <v/>
      </c>
      <c r="G11" s="14">
        <f>E11+F11</f>
        <v/>
      </c>
      <c r="H11" s="15" t="inlineStr">
        <is>
          <t>Anthropic API</t>
        </is>
      </c>
    </row>
    <row r="12">
      <c r="B12" s="4" t="inlineStr">
        <is>
          <t>Chat Message</t>
        </is>
      </c>
      <c r="C12" s="13" t="n">
        <v>2000</v>
      </c>
      <c r="D12" s="13" t="n">
        <v>2000</v>
      </c>
      <c r="E12" s="14">
        <f>C12/1000000*C4</f>
        <v/>
      </c>
      <c r="F12" s="14">
        <f>D12/1000000*C5</f>
        <v/>
      </c>
      <c r="G12" s="14">
        <f>E12+F12</f>
        <v/>
      </c>
      <c r="H12" s="15" t="inlineStr">
        <is>
          <t>Anthropic API</t>
        </is>
      </c>
    </row>
    <row r="13">
      <c r="B13" s="4" t="inlineStr">
        <is>
          <t>Practice Question Batch</t>
        </is>
      </c>
      <c r="C13" s="13" t="n">
        <v>3000</v>
      </c>
      <c r="D13" s="13" t="n">
        <v>4000</v>
      </c>
      <c r="E13" s="14">
        <f>C13/1000000*C4</f>
        <v/>
      </c>
      <c r="F13" s="14">
        <f>D13/1000000*C5</f>
        <v/>
      </c>
      <c r="G13" s="14">
        <f>E13+F13</f>
        <v/>
      </c>
      <c r="H13" s="15" t="inlineStr">
        <is>
          <t>Anthropic API</t>
        </is>
      </c>
    </row>
    <row r="14">
      <c r="B14" s="4" t="inlineStr">
        <is>
          <t>Exam Generation</t>
        </is>
      </c>
      <c r="C14" s="13" t="n">
        <v>4000</v>
      </c>
      <c r="D14" s="13" t="n">
        <v>8000</v>
      </c>
      <c r="E14" s="14">
        <f>C14/1000000*C4</f>
        <v/>
      </c>
      <c r="F14" s="14">
        <f>D14/1000000*C5</f>
        <v/>
      </c>
      <c r="G14" s="14">
        <f>E14+F14</f>
        <v/>
      </c>
      <c r="H14" s="15" t="inlineStr">
        <is>
          <t>Anthropic API</t>
        </is>
      </c>
    </row>
    <row r="15">
      <c r="B15" s="4" t="inlineStr">
        <is>
          <t>Walkthrough Step</t>
        </is>
      </c>
      <c r="C15" s="13" t="n">
        <v>3000</v>
      </c>
      <c r="D15" s="13" t="n">
        <v>4000</v>
      </c>
      <c r="E15" s="14">
        <f>C15/1000000*C4</f>
        <v/>
      </c>
      <c r="F15" s="14">
        <f>D15/1000000*C5</f>
        <v/>
      </c>
      <c r="G15" s="14">
        <f>E15+F15</f>
        <v/>
      </c>
      <c r="H15" s="15" t="inlineStr">
        <is>
          <t>Anthropic API</t>
        </is>
      </c>
    </row>
    <row r="16">
      <c r="B16" s="4" t="inlineStr">
        <is>
          <t>Diagram Schema (Claude)</t>
        </is>
      </c>
      <c r="C16" s="13" t="n">
        <v>2000</v>
      </c>
      <c r="D16" s="13" t="n">
        <v>3000</v>
      </c>
      <c r="E16" s="14">
        <f>C16/1000000*C4</f>
        <v/>
      </c>
      <c r="F16" s="14">
        <f>D16/1000000*C5</f>
        <v/>
      </c>
      <c r="G16" s="14">
        <f>E16+F16</f>
        <v/>
      </c>
      <c r="H16" s="15" t="inlineStr">
        <is>
          <t>Anthropic API</t>
        </is>
      </c>
    </row>
    <row r="17">
      <c r="B17" s="4" t="inlineStr">
        <is>
          <t>Search Query</t>
        </is>
      </c>
      <c r="C17" s="13" t="n">
        <v>1500</v>
      </c>
      <c r="D17" s="13" t="n">
        <v>2000</v>
      </c>
      <c r="E17" s="14">
        <f>C17/1000000*C4</f>
        <v/>
      </c>
      <c r="F17" s="14">
        <f>D17/1000000*C5</f>
        <v/>
      </c>
      <c r="G17" s="14">
        <f>E17+F17</f>
        <v/>
      </c>
      <c r="H17" s="15" t="inlineStr">
        <is>
          <t>Anthropic API</t>
        </is>
      </c>
    </row>
    <row r="18">
      <c r="B18" s="4" t="inlineStr">
        <is>
          <t>Help Request</t>
        </is>
      </c>
      <c r="C18" s="13" t="n">
        <v>2000</v>
      </c>
      <c r="D18" s="13" t="n">
        <v>3000</v>
      </c>
      <c r="E18" s="14">
        <f>C18/1000000*C4</f>
        <v/>
      </c>
      <c r="F18" s="14">
        <f>D18/1000000*C5</f>
        <v/>
      </c>
      <c r="G18" s="14">
        <f>E18+F18</f>
        <v/>
      </c>
      <c r="H18" s="15" t="inlineStr">
        <is>
          <t>Anthropic API</t>
        </is>
      </c>
    </row>
    <row r="19">
      <c r="B19" s="4" t="inlineStr">
        <is>
          <t>Prepare Guide Gen</t>
        </is>
      </c>
      <c r="C19" s="13" t="n">
        <v>5000</v>
      </c>
      <c r="D19" s="13" t="n">
        <v>12000</v>
      </c>
      <c r="E19" s="14">
        <f>C19/1000000*C4</f>
        <v/>
      </c>
      <c r="F19" s="14">
        <f>D19/1000000*C5</f>
        <v/>
      </c>
      <c r="G19" s="14">
        <f>E19+F19</f>
        <v/>
      </c>
      <c r="H19" s="15" t="inlineStr">
        <is>
          <t>Anthropic API</t>
        </is>
      </c>
    </row>
    <row r="20">
      <c r="B20" s="4" t="inlineStr">
        <is>
          <t>Cheatsheet Generation</t>
        </is>
      </c>
      <c r="C20" s="13" t="n">
        <v>3000</v>
      </c>
      <c r="D20" s="13" t="n">
        <v>6000</v>
      </c>
      <c r="E20" s="14">
        <f>C20/1000000*C4</f>
        <v/>
      </c>
      <c r="F20" s="14">
        <f>D20/1000000*C5</f>
        <v/>
      </c>
      <c r="G20" s="14">
        <f>E20+F20</f>
        <v/>
      </c>
      <c r="H20" s="15" t="inlineStr">
        <is>
          <t>Anthropic API</t>
        </is>
      </c>
    </row>
    <row r="23">
      <c r="B23" s="5" t="inlineStr">
        <is>
          <t>User Activity Profiles (Actions per User per Month)</t>
        </is>
      </c>
      <c r="C23" s="6" t="n"/>
      <c r="D23" s="6" t="n"/>
      <c r="E23" s="6" t="n"/>
      <c r="F23" s="6" t="n"/>
      <c r="G23" s="6" t="n"/>
      <c r="H23" s="6" t="n"/>
      <c r="I23" s="6" t="n"/>
    </row>
    <row r="24">
      <c r="A24" s="7" t="n"/>
      <c r="B24" s="7" t="inlineStr">
        <is>
          <t>Action</t>
        </is>
      </c>
      <c r="C24" s="7" t="inlineStr">
        <is>
          <t>Light User</t>
        </is>
      </c>
      <c r="D24" s="7" t="inlineStr">
        <is>
          <t>Medium User</t>
        </is>
      </c>
      <c r="E24" s="7" t="inlineStr">
        <is>
          <t>Heavy User</t>
        </is>
      </c>
    </row>
    <row r="25">
      <c r="B25" s="4" t="inlineStr">
        <is>
          <t>Course Generation</t>
        </is>
      </c>
      <c r="C25" s="16" t="n">
        <v>2</v>
      </c>
      <c r="D25" s="16" t="n">
        <v>5</v>
      </c>
      <c r="E25" s="16" t="n">
        <v>12</v>
      </c>
    </row>
    <row r="26">
      <c r="B26" s="4" t="inlineStr">
        <is>
          <t>Lesson Expansion</t>
        </is>
      </c>
      <c r="C26" s="16" t="n">
        <v>5</v>
      </c>
      <c r="D26" s="16" t="n">
        <v>15</v>
      </c>
      <c r="E26" s="16" t="n">
        <v>40</v>
      </c>
    </row>
    <row r="27">
      <c r="B27" s="4" t="inlineStr">
        <is>
          <t>Homework Check</t>
        </is>
      </c>
      <c r="C27" s="16" t="n">
        <v>10</v>
      </c>
      <c r="D27" s="16" t="n">
        <v>30</v>
      </c>
      <c r="E27" s="16" t="n">
        <v>80</v>
      </c>
    </row>
    <row r="28">
      <c r="B28" s="4" t="inlineStr">
        <is>
          <t>Chat Message</t>
        </is>
      </c>
      <c r="C28" s="16" t="n">
        <v>20</v>
      </c>
      <c r="D28" s="16" t="n">
        <v>60</v>
      </c>
      <c r="E28" s="16" t="n">
        <v>150</v>
      </c>
    </row>
    <row r="29">
      <c r="B29" s="4" t="inlineStr">
        <is>
          <t>Practice Question Batch</t>
        </is>
      </c>
      <c r="C29" s="16" t="n">
        <v>5</v>
      </c>
      <c r="D29" s="16" t="n">
        <v>15</v>
      </c>
      <c r="E29" s="16" t="n">
        <v>40</v>
      </c>
    </row>
    <row r="30">
      <c r="B30" s="4" t="inlineStr">
        <is>
          <t>Exam Generation</t>
        </is>
      </c>
      <c r="C30" s="16" t="n">
        <v>1</v>
      </c>
      <c r="D30" s="16" t="n">
        <v>3</v>
      </c>
      <c r="E30" s="16" t="n">
        <v>8</v>
      </c>
    </row>
    <row r="31">
      <c r="B31" s="4" t="inlineStr">
        <is>
          <t>Walkthrough Step</t>
        </is>
      </c>
      <c r="C31" s="16" t="n">
        <v>5</v>
      </c>
      <c r="D31" s="16" t="n">
        <v>15</v>
      </c>
      <c r="E31" s="16" t="n">
        <v>40</v>
      </c>
    </row>
    <row r="32">
      <c r="B32" s="4" t="inlineStr">
        <is>
          <t>Diagram Generation</t>
        </is>
      </c>
      <c r="C32" s="16" t="n">
        <v>3</v>
      </c>
      <c r="D32" s="16" t="n">
        <v>10</v>
      </c>
      <c r="E32" s="16" t="n">
        <v>25</v>
      </c>
    </row>
    <row r="33">
      <c r="B33" s="4" t="inlineStr">
        <is>
          <t>Search Query</t>
        </is>
      </c>
      <c r="C33" s="16" t="n">
        <v>5</v>
      </c>
      <c r="D33" s="16" t="n">
        <v>15</v>
      </c>
      <c r="E33" s="16" t="n">
        <v>30</v>
      </c>
    </row>
    <row r="34">
      <c r="B34" s="4" t="inlineStr">
        <is>
          <t>Help Request</t>
        </is>
      </c>
      <c r="C34" s="16" t="n">
        <v>2</v>
      </c>
      <c r="D34" s="16" t="n">
        <v>5</v>
      </c>
      <c r="E34" s="16" t="n">
        <v>10</v>
      </c>
    </row>
    <row r="35">
      <c r="B35" s="4" t="inlineStr">
        <is>
          <t>Prepare Guide Gen</t>
        </is>
      </c>
      <c r="C35" s="16" t="n">
        <v>1</v>
      </c>
      <c r="D35" s="16" t="n">
        <v>3</v>
      </c>
      <c r="E35" s="16" t="n">
        <v>6</v>
      </c>
    </row>
    <row r="36">
      <c r="B36" s="4" t="inlineStr">
        <is>
          <t>Cheatsheet Generation</t>
        </is>
      </c>
      <c r="C36" s="16" t="n">
        <v>1</v>
      </c>
      <c r="D36" s="16" t="n">
        <v>2</v>
      </c>
      <c r="E36" s="16" t="n">
        <v>5</v>
      </c>
    </row>
    <row r="38">
      <c r="B38" s="5" t="inlineStr">
        <is>
          <t>Monthly AI Cost Per User Profile</t>
        </is>
      </c>
      <c r="C38" s="6" t="n"/>
      <c r="D38" s="6" t="n"/>
      <c r="E38" s="6" t="n"/>
      <c r="F38" s="6" t="n"/>
      <c r="G38" s="6" t="n"/>
      <c r="H38" s="6" t="n"/>
      <c r="I38" s="6" t="n"/>
    </row>
    <row r="39">
      <c r="A39" s="7" t="n"/>
      <c r="B39" s="7" t="inlineStr">
        <is>
          <t>Action</t>
        </is>
      </c>
      <c r="C39" s="7" t="inlineStr">
        <is>
          <t>Light $/mo</t>
        </is>
      </c>
      <c r="D39" s="7" t="inlineStr">
        <is>
          <t>Medium $/mo</t>
        </is>
      </c>
      <c r="E39" s="7" t="inlineStr">
        <is>
          <t>Heavy $/mo</t>
        </is>
      </c>
    </row>
    <row r="40">
      <c r="B40" s="4" t="inlineStr">
        <is>
          <t>Course Generation</t>
        </is>
      </c>
      <c r="C40" s="17">
        <f>C25*G9</f>
        <v/>
      </c>
      <c r="D40" s="17">
        <f>D25*G9</f>
        <v/>
      </c>
      <c r="E40" s="17">
        <f>E25*G9</f>
        <v/>
      </c>
    </row>
    <row r="41">
      <c r="B41" s="4" t="inlineStr">
        <is>
          <t>Lesson Expansion</t>
        </is>
      </c>
      <c r="C41" s="17">
        <f>C26*G10</f>
        <v/>
      </c>
      <c r="D41" s="17">
        <f>D26*G10</f>
        <v/>
      </c>
      <c r="E41" s="17">
        <f>E26*G10</f>
        <v/>
      </c>
    </row>
    <row r="42">
      <c r="B42" s="4" t="inlineStr">
        <is>
          <t>Homework Check</t>
        </is>
      </c>
      <c r="C42" s="17">
        <f>C27*G11</f>
        <v/>
      </c>
      <c r="D42" s="17">
        <f>D27*G11</f>
        <v/>
      </c>
      <c r="E42" s="17">
        <f>E27*G11</f>
        <v/>
      </c>
    </row>
    <row r="43">
      <c r="B43" s="4" t="inlineStr">
        <is>
          <t>Chat Message</t>
        </is>
      </c>
      <c r="C43" s="17">
        <f>C28*G12</f>
        <v/>
      </c>
      <c r="D43" s="17">
        <f>D28*G12</f>
        <v/>
      </c>
      <c r="E43" s="17">
        <f>E28*G12</f>
        <v/>
      </c>
    </row>
    <row r="44">
      <c r="B44" s="4" t="inlineStr">
        <is>
          <t>Practice Question Batch</t>
        </is>
      </c>
      <c r="C44" s="17">
        <f>C29*G13</f>
        <v/>
      </c>
      <c r="D44" s="17">
        <f>D29*G13</f>
        <v/>
      </c>
      <c r="E44" s="17">
        <f>E29*G13</f>
        <v/>
      </c>
    </row>
    <row r="45">
      <c r="B45" s="4" t="inlineStr">
        <is>
          <t>Exam Generation</t>
        </is>
      </c>
      <c r="C45" s="17">
        <f>C30*G14</f>
        <v/>
      </c>
      <c r="D45" s="17">
        <f>D30*G14</f>
        <v/>
      </c>
      <c r="E45" s="17">
        <f>E30*G14</f>
        <v/>
      </c>
    </row>
    <row r="46">
      <c r="B46" s="4" t="inlineStr">
        <is>
          <t>Walkthrough Step</t>
        </is>
      </c>
      <c r="C46" s="17">
        <f>C31*G15</f>
        <v/>
      </c>
      <c r="D46" s="17">
        <f>D31*G15</f>
        <v/>
      </c>
      <c r="E46" s="17">
        <f>E31*G15</f>
        <v/>
      </c>
    </row>
    <row r="47">
      <c r="B47" s="4" t="inlineStr">
        <is>
          <t>Diagram Generation</t>
        </is>
      </c>
      <c r="C47" s="17">
        <f>C32*G16</f>
        <v/>
      </c>
      <c r="D47" s="17">
        <f>D32*G16</f>
        <v/>
      </c>
      <c r="E47" s="17">
        <f>E32*G16</f>
        <v/>
      </c>
    </row>
    <row r="48">
      <c r="B48" s="4" t="inlineStr">
        <is>
          <t>Search Query</t>
        </is>
      </c>
      <c r="C48" s="17">
        <f>C33*G17</f>
        <v/>
      </c>
      <c r="D48" s="17">
        <f>D33*G17</f>
        <v/>
      </c>
      <c r="E48" s="17">
        <f>E33*G17</f>
        <v/>
      </c>
    </row>
    <row r="49">
      <c r="B49" s="4" t="inlineStr">
        <is>
          <t>Help Request</t>
        </is>
      </c>
      <c r="C49" s="17">
        <f>C34*G18</f>
        <v/>
      </c>
      <c r="D49" s="17">
        <f>D34*G18</f>
        <v/>
      </c>
      <c r="E49" s="17">
        <f>E34*G18</f>
        <v/>
      </c>
    </row>
    <row r="50">
      <c r="B50" s="4" t="inlineStr">
        <is>
          <t>Prepare Guide Gen</t>
        </is>
      </c>
      <c r="C50" s="17">
        <f>C35*G19</f>
        <v/>
      </c>
      <c r="D50" s="17">
        <f>D35*G19</f>
        <v/>
      </c>
      <c r="E50" s="17">
        <f>E35*G19</f>
        <v/>
      </c>
    </row>
    <row r="51">
      <c r="B51" s="4" t="inlineStr">
        <is>
          <t>Cheatsheet Generation</t>
        </is>
      </c>
      <c r="C51" s="17">
        <f>C36*G20</f>
        <v/>
      </c>
      <c r="D51" s="17">
        <f>D36*G20</f>
        <v/>
      </c>
      <c r="E51" s="17">
        <f>E36*G20</f>
        <v/>
      </c>
    </row>
    <row r="52">
      <c r="B52" s="18" t="inlineStr">
        <is>
          <t>TOTAL AI Cost/User/Month</t>
        </is>
      </c>
      <c r="C52" s="19">
        <f>SUM(C40:C51)</f>
        <v/>
      </c>
      <c r="D52" s="19">
        <f>SUM(D40:D51)</f>
        <v/>
      </c>
      <c r="E52" s="19">
        <f>SUM(E40:E51)</f>
        <v/>
      </c>
    </row>
    <row r="54">
      <c r="B54" s="5" t="inlineStr">
        <is>
          <t>Total Monthly AI Cost by User Scale (Assuming 40% Light / 40% Medium / 20% Heavy)</t>
        </is>
      </c>
      <c r="C54" s="6" t="n"/>
      <c r="D54" s="6" t="n"/>
      <c r="E54" s="6" t="n"/>
      <c r="F54" s="6" t="n"/>
      <c r="G54" s="6" t="n"/>
      <c r="H54" s="6" t="n"/>
      <c r="I54" s="6" t="n"/>
    </row>
    <row r="55">
      <c r="A55" s="7" t="n"/>
      <c r="B55" s="7" t="inlineStr">
        <is>
          <t>User Count</t>
        </is>
      </c>
      <c r="C55" s="7" t="inlineStr">
        <is>
          <t>Light Users</t>
        </is>
      </c>
      <c r="D55" s="7" t="inlineStr">
        <is>
          <t>Medium Users</t>
        </is>
      </c>
      <c r="E55" s="7" t="inlineStr">
        <is>
          <t>Heavy Users</t>
        </is>
      </c>
      <c r="F55" s="7" t="inlineStr">
        <is>
          <t>Total AI Cost/Month</t>
        </is>
      </c>
      <c r="G55" s="7" t="inlineStr">
        <is>
          <t>Avg Cost/User</t>
        </is>
      </c>
    </row>
    <row r="56">
      <c r="B56" s="13" t="n">
        <v>50</v>
      </c>
      <c r="C56" s="20">
        <f>B56*0.4</f>
        <v/>
      </c>
      <c r="D56" s="20">
        <f>B56*0.4</f>
        <v/>
      </c>
      <c r="E56" s="20">
        <f>B56*0.2</f>
        <v/>
      </c>
      <c r="F56" s="21">
        <f>C56*C52+D56*D52+E56*E52</f>
        <v/>
      </c>
      <c r="G56" s="17">
        <f>F56/B56</f>
        <v/>
      </c>
    </row>
    <row r="57">
      <c r="B57" s="13" t="n">
        <v>100</v>
      </c>
      <c r="C57" s="20">
        <f>B57*0.4</f>
        <v/>
      </c>
      <c r="D57" s="20">
        <f>B57*0.4</f>
        <v/>
      </c>
      <c r="E57" s="20">
        <f>B57*0.2</f>
        <v/>
      </c>
      <c r="F57" s="21">
        <f>C57*C52+D57*D52+E57*E52</f>
        <v/>
      </c>
      <c r="G57" s="17">
        <f>F57/B57</f>
        <v/>
      </c>
    </row>
    <row r="58">
      <c r="B58" s="13" t="n">
        <v>500</v>
      </c>
      <c r="C58" s="20">
        <f>B58*0.4</f>
        <v/>
      </c>
      <c r="D58" s="20">
        <f>B58*0.4</f>
        <v/>
      </c>
      <c r="E58" s="20">
        <f>B58*0.2</f>
        <v/>
      </c>
      <c r="F58" s="21">
        <f>C58*C52+D58*D52+E58*E52</f>
        <v/>
      </c>
      <c r="G58" s="17">
        <f>F58/B58</f>
        <v/>
      </c>
    </row>
    <row r="59">
      <c r="B59" s="13" t="n">
        <v>1000</v>
      </c>
      <c r="C59" s="20">
        <f>B59*0.4</f>
        <v/>
      </c>
      <c r="D59" s="20">
        <f>B59*0.4</f>
        <v/>
      </c>
      <c r="E59" s="20">
        <f>B59*0.2</f>
        <v/>
      </c>
      <c r="F59" s="21">
        <f>C59*C52+D59*D52+E59*E52</f>
        <v/>
      </c>
      <c r="G59" s="17">
        <f>F59/B59</f>
        <v/>
      </c>
    </row>
    <row r="60">
      <c r="B60" s="13" t="n">
        <v>5000</v>
      </c>
      <c r="C60" s="20">
        <f>B60*0.4</f>
        <v/>
      </c>
      <c r="D60" s="20">
        <f>B60*0.4</f>
        <v/>
      </c>
      <c r="E60" s="20">
        <f>B60*0.2</f>
        <v/>
      </c>
      <c r="F60" s="21">
        <f>C60*C52+D60*D52+E60*E52</f>
        <v/>
      </c>
      <c r="G60" s="17">
        <f>F60/B60</f>
        <v/>
      </c>
    </row>
  </sheetData>
  <mergeCells count="6">
    <mergeCell ref="B7:I7"/>
    <mergeCell ref="B38:I38"/>
    <mergeCell ref="B54:I54"/>
    <mergeCell ref="B3:I3"/>
    <mergeCell ref="B23:I2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3" customWidth="1" min="9" max="9"/>
  </cols>
  <sheetData>
    <row r="1" ht="40" customHeight="1">
      <c r="B1" s="1" t="inlineStr">
        <is>
          <t>Infrastructure &amp; Service Costs — Monthly Breakdown</t>
        </is>
      </c>
      <c r="C1" s="2" t="n"/>
      <c r="D1" s="2" t="n"/>
      <c r="E1" s="2" t="n"/>
      <c r="F1" s="2" t="n"/>
      <c r="G1" s="2" t="n"/>
      <c r="H1" s="2" t="n"/>
    </row>
    <row r="3">
      <c r="B3" s="5" t="inlineStr">
        <is>
          <t>Service Cost by User Scale</t>
        </is>
      </c>
      <c r="C3" s="6" t="n"/>
      <c r="D3" s="6" t="n"/>
      <c r="E3" s="6" t="n"/>
      <c r="F3" s="6" t="n"/>
      <c r="G3" s="6" t="n"/>
      <c r="H3" s="6" t="n"/>
    </row>
    <row r="4">
      <c r="A4" s="7" t="n"/>
      <c r="B4" s="7" t="inlineStr">
        <is>
          <t>Service</t>
        </is>
      </c>
      <c r="C4" s="7" t="inlineStr">
        <is>
          <t>50 Users</t>
        </is>
      </c>
      <c r="D4" s="7" t="inlineStr">
        <is>
          <t>100 Users</t>
        </is>
      </c>
      <c r="E4" s="7" t="inlineStr">
        <is>
          <t>500 Users</t>
        </is>
      </c>
      <c r="F4" s="7" t="inlineStr">
        <is>
          <t>1,000 Users</t>
        </is>
      </c>
      <c r="G4" s="7" t="inlineStr">
        <is>
          <t>5,000 Users</t>
        </is>
      </c>
      <c r="H4" s="7" t="inlineStr">
        <is>
          <t>Notes</t>
        </is>
      </c>
    </row>
    <row r="5">
      <c r="B5" s="4" t="inlineStr">
        <is>
          <t>Supabase</t>
        </is>
      </c>
      <c r="C5" s="22" t="n">
        <v>0</v>
      </c>
      <c r="D5" s="22" t="n">
        <v>0</v>
      </c>
      <c r="E5" s="22" t="n">
        <v>25</v>
      </c>
      <c r="F5" s="22" t="n">
        <v>25</v>
      </c>
      <c r="G5" s="22" t="n">
        <v>599</v>
      </c>
      <c r="H5" s="23" t="inlineStr">
        <is>
          <t>Free→Pro ($25) at 500MB. Team ($599) at 5K users</t>
        </is>
      </c>
    </row>
    <row r="6">
      <c r="B6" s="4" t="inlineStr">
        <is>
          <t>Vercel Pro</t>
        </is>
      </c>
      <c r="C6" s="22" t="n">
        <v>20</v>
      </c>
      <c r="D6" s="22" t="n">
        <v>20</v>
      </c>
      <c r="E6" s="22" t="n">
        <v>20</v>
      </c>
      <c r="F6" s="22" t="n">
        <v>20</v>
      </c>
      <c r="G6" s="22" t="n">
        <v>20</v>
      </c>
      <c r="H6" s="23" t="inlineStr">
        <is>
          <t>Pro plan $20/mo. Enterprise if &gt;100K visitors</t>
        </is>
      </c>
    </row>
    <row r="7">
      <c r="B7" s="4" t="inlineStr">
        <is>
          <t>Recraft API</t>
        </is>
      </c>
      <c r="C7" s="22" t="n">
        <v>12</v>
      </c>
      <c r="D7" s="22" t="n">
        <v>24</v>
      </c>
      <c r="E7" s="22" t="n">
        <v>120</v>
      </c>
      <c r="F7" s="22" t="n">
        <v>240</v>
      </c>
      <c r="G7" s="22" t="n">
        <v>1200</v>
      </c>
      <c r="H7" s="23" t="inlineStr">
        <is>
          <t>~$0.04/image. 3-25 diagrams/user/mo avg</t>
        </is>
      </c>
    </row>
    <row r="8">
      <c r="B8" s="4" t="inlineStr">
        <is>
          <t>E2B Sandbox</t>
        </is>
      </c>
      <c r="C8" s="22" t="n">
        <v>5</v>
      </c>
      <c r="D8" s="22" t="n">
        <v>10</v>
      </c>
      <c r="E8" s="22" t="n">
        <v>50</v>
      </c>
      <c r="F8" s="22" t="n">
        <v>100</v>
      </c>
      <c r="G8" s="22" t="n">
        <v>500</v>
      </c>
      <c r="H8" s="23" t="inlineStr">
        <is>
          <t>$0.16/hr. ~30sec avg per execution</t>
        </is>
      </c>
    </row>
    <row r="9">
      <c r="B9" s="4" t="inlineStr">
        <is>
          <t>Resend Email</t>
        </is>
      </c>
      <c r="C9" s="22" t="n">
        <v>0</v>
      </c>
      <c r="D9" s="22" t="n">
        <v>0</v>
      </c>
      <c r="E9" s="22" t="n">
        <v>20</v>
      </c>
      <c r="F9" s="22" t="n">
        <v>20</v>
      </c>
      <c r="G9" s="22" t="n">
        <v>20</v>
      </c>
      <c r="H9" s="23" t="inlineStr">
        <is>
          <t>Free up to 100/day. Pro $20/mo</t>
        </is>
      </c>
    </row>
    <row r="10">
      <c r="B10" s="4" t="inlineStr">
        <is>
          <t>Domain (notesnap.app)</t>
        </is>
      </c>
      <c r="C10" s="22" t="n">
        <v>1.25</v>
      </c>
      <c r="D10" s="22" t="n">
        <v>1.25</v>
      </c>
      <c r="E10" s="22" t="n">
        <v>1.25</v>
      </c>
      <c r="F10" s="22" t="n">
        <v>1.25</v>
      </c>
      <c r="G10" s="22" t="n">
        <v>1.25</v>
      </c>
      <c r="H10" s="23" t="inlineStr">
        <is>
          <t>$15/year = $1.25/mo</t>
        </is>
      </c>
    </row>
    <row r="11">
      <c r="B11" s="4" t="inlineStr">
        <is>
          <t>Monitoring (Sentry/LogRocket)</t>
        </is>
      </c>
      <c r="C11" s="22" t="n">
        <v>0</v>
      </c>
      <c r="D11" s="22" t="n">
        <v>0</v>
      </c>
      <c r="E11" s="22" t="n">
        <v>26</v>
      </c>
      <c r="F11" s="22" t="n">
        <v>26</v>
      </c>
      <c r="G11" s="22" t="n">
        <v>89</v>
      </c>
      <c r="H11" s="23" t="inlineStr">
        <is>
          <t>Free→Dev ($26)→Team ($89)</t>
        </is>
      </c>
    </row>
    <row r="12">
      <c r="B12" s="4" t="inlineStr">
        <is>
          <t>CDN / Image Optimization</t>
        </is>
      </c>
      <c r="C12" s="22" t="n">
        <v>0</v>
      </c>
      <c r="D12" s="22" t="n">
        <v>0</v>
      </c>
      <c r="E12" s="22" t="n">
        <v>0</v>
      </c>
      <c r="F12" s="22" t="n">
        <v>20</v>
      </c>
      <c r="G12" s="22" t="n">
        <v>50</v>
      </c>
      <c r="H12" s="23" t="inlineStr">
        <is>
          <t>Vercel Image Opt included in Pro</t>
        </is>
      </c>
    </row>
    <row r="13">
      <c r="B13" s="4" t="inlineStr">
        <is>
          <t>Analytics (Mixpanel/PostHog)</t>
        </is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450</v>
      </c>
      <c r="H13" s="23" t="inlineStr">
        <is>
          <t>Free tier sufficient &lt;1K users</t>
        </is>
      </c>
    </row>
    <row r="14">
      <c r="B14" s="4" t="inlineStr">
        <is>
          <t>Backup &amp; Disaster Recovery</t>
        </is>
      </c>
      <c r="C14" s="22" t="n">
        <v>0</v>
      </c>
      <c r="D14" s="22" t="n">
        <v>0</v>
      </c>
      <c r="E14" s="22" t="n">
        <v>10</v>
      </c>
      <c r="F14" s="22" t="n">
        <v>25</v>
      </c>
      <c r="G14" s="22" t="n">
        <v>50</v>
      </c>
      <c r="H14" s="23" t="inlineStr">
        <is>
          <t>DB snapshots, offsite backup</t>
        </is>
      </c>
    </row>
    <row r="15">
      <c r="B15" s="18" t="inlineStr">
        <is>
          <t>TOTAL Infrastructure/Month</t>
        </is>
      </c>
      <c r="C15" s="9">
        <f>SUM(C5:C14)</f>
        <v/>
      </c>
      <c r="D15" s="9">
        <f>SUM(D5:D14)</f>
        <v/>
      </c>
      <c r="E15" s="9">
        <f>SUM(E5:E14)</f>
        <v/>
      </c>
      <c r="F15" s="9">
        <f>SUM(F5:F14)</f>
        <v/>
      </c>
      <c r="G15" s="9">
        <f>SUM(G5:G14)</f>
        <v/>
      </c>
    </row>
    <row r="18">
      <c r="B18" s="5" t="inlineStr">
        <is>
          <t>One-Time Setup Costs</t>
        </is>
      </c>
      <c r="C18" s="6" t="n"/>
      <c r="D18" s="6" t="n"/>
      <c r="E18" s="6" t="n"/>
      <c r="F18" s="6" t="n"/>
      <c r="G18" s="6" t="n"/>
      <c r="H18" s="6" t="n"/>
    </row>
    <row r="19">
      <c r="A19" s="7" t="n"/>
      <c r="B19" s="7" t="inlineStr">
        <is>
          <t>Item</t>
        </is>
      </c>
      <c r="C19" s="7" t="inlineStr">
        <is>
          <t>Cost</t>
        </is>
      </c>
      <c r="D19" s="7" t="inlineStr"/>
      <c r="E19" s="7" t="inlineStr"/>
      <c r="F19" s="7" t="inlineStr"/>
      <c r="G19" s="7" t="inlineStr"/>
      <c r="H19" s="7" t="inlineStr">
        <is>
          <t>Notes</t>
        </is>
      </c>
    </row>
    <row r="20">
      <c r="B20" s="4" t="inlineStr">
        <is>
          <t>Landing Page Design &amp; Copy</t>
        </is>
      </c>
      <c r="C20" s="22" t="n">
        <v>1500</v>
      </c>
      <c r="H20" s="23" t="inlineStr">
        <is>
          <t>Professional copywriter + designer</t>
        </is>
      </c>
    </row>
    <row r="21">
      <c r="B21" s="4" t="inlineStr">
        <is>
          <t>SEO Audit &amp; Optimization</t>
        </is>
      </c>
      <c r="C21" s="22" t="n">
        <v>800</v>
      </c>
      <c r="H21" s="23" t="inlineStr">
        <is>
          <t>Technical SEO + content optimization</t>
        </is>
      </c>
    </row>
    <row r="22">
      <c r="B22" s="4" t="inlineStr">
        <is>
          <t>Legal (Privacy Policy, ToS, GDPR)</t>
        </is>
      </c>
      <c r="C22" s="22" t="n">
        <v>2000</v>
      </c>
      <c r="H22" s="23" t="inlineStr">
        <is>
          <t>Lawyer review for global compliance</t>
        </is>
      </c>
    </row>
    <row r="23">
      <c r="B23" s="4" t="inlineStr">
        <is>
          <t>Logo &amp; Brand Assets Refresh</t>
        </is>
      </c>
      <c r="C23" s="22" t="n">
        <v>500</v>
      </c>
      <c r="H23" s="23" t="inlineStr">
        <is>
          <t>Polish existing brand for launch</t>
        </is>
      </c>
    </row>
    <row r="24">
      <c r="B24" s="4" t="inlineStr">
        <is>
          <t>App Store / PWA Setup</t>
        </is>
      </c>
      <c r="C24" s="22" t="n">
        <v>300</v>
      </c>
      <c r="H24" s="23" t="inlineStr">
        <is>
          <t>If going PWA route</t>
        </is>
      </c>
    </row>
    <row r="25">
      <c r="B25" s="4" t="inlineStr">
        <is>
          <t>Payment Integration (Stripe)</t>
        </is>
      </c>
      <c r="C25" s="22" t="n">
        <v>500</v>
      </c>
      <c r="H25" s="23" t="inlineStr">
        <is>
          <t>Setup, testing, webhook config</t>
        </is>
      </c>
    </row>
    <row r="26">
      <c r="B26" s="4" t="inlineStr">
        <is>
          <t>Onboarding Flow Design</t>
        </is>
      </c>
      <c r="C26" s="22" t="n">
        <v>800</v>
      </c>
      <c r="H26" s="23" t="inlineStr">
        <is>
          <t>UX design + implementation</t>
        </is>
      </c>
    </row>
    <row r="27">
      <c r="B27" s="4" t="inlineStr">
        <is>
          <t>QA &amp; Load Testing</t>
        </is>
      </c>
      <c r="C27" s="22" t="n">
        <v>600</v>
      </c>
      <c r="H27" s="23" t="inlineStr">
        <is>
          <t>Pre-launch testing across devices</t>
        </is>
      </c>
    </row>
    <row r="28">
      <c r="B28" s="4" t="inlineStr">
        <is>
          <t>Security Audit</t>
        </is>
      </c>
      <c r="C28" s="22" t="n">
        <v>1000</v>
      </c>
      <c r="H28" s="23" t="inlineStr">
        <is>
          <t>Pen test + vulnerability scan</t>
        </is>
      </c>
    </row>
    <row r="29">
      <c r="B29" s="4" t="inlineStr">
        <is>
          <t>Launch PR &amp; Content Pack</t>
        </is>
      </c>
      <c r="C29" s="22" t="n">
        <v>1200</v>
      </c>
      <c r="H29" s="23" t="inlineStr">
        <is>
          <t>Press kit, blog posts, social assets</t>
        </is>
      </c>
    </row>
    <row r="30">
      <c r="B30" s="18" t="inlineStr">
        <is>
          <t>TOTAL One-Time Setup</t>
        </is>
      </c>
      <c r="C30" s="9">
        <f>SUM(C20:C29)</f>
        <v/>
      </c>
    </row>
  </sheetData>
  <mergeCells count="3">
    <mergeCell ref="B1:H1"/>
    <mergeCell ref="B3:H3"/>
    <mergeCell ref="B18:H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40" customHeight="1">
      <c r="B1" s="1" t="inlineStr">
        <is>
          <t>Revenue Projections — Four Pricing Strategies</t>
        </is>
      </c>
      <c r="C1" s="2" t="n"/>
      <c r="D1" s="2" t="n"/>
      <c r="E1" s="2" t="n"/>
      <c r="F1" s="2" t="n"/>
      <c r="G1" s="2" t="n"/>
    </row>
    <row r="3">
      <c r="B3" s="5" t="inlineStr">
        <is>
          <t>Model A: Freemium — Free tier + $9.99/mo Basic + $19.99/mo Pro</t>
        </is>
      </c>
      <c r="C3" s="6" t="n"/>
      <c r="D3" s="6" t="n"/>
      <c r="E3" s="6" t="n"/>
      <c r="F3" s="6" t="n"/>
      <c r="G3" s="6" t="n"/>
    </row>
    <row r="4">
      <c r="B4" s="24" t="inlineStr">
        <is>
          <t>Assumption: 60% free, 25% Basic ($9.99), 15% Pro ($19.99)</t>
        </is>
      </c>
    </row>
    <row r="5">
      <c r="A5" s="7" t="n"/>
      <c r="B5" s="7" t="inlineStr">
        <is>
          <t>Metric</t>
        </is>
      </c>
      <c r="C5" s="7" t="inlineStr">
        <is>
          <t>50 Users</t>
        </is>
      </c>
      <c r="D5" s="7" t="inlineStr">
        <is>
          <t>100 Users</t>
        </is>
      </c>
      <c r="E5" s="7" t="inlineStr">
        <is>
          <t>500 Users</t>
        </is>
      </c>
      <c r="F5" s="7" t="inlineStr">
        <is>
          <t>1,000 Users</t>
        </is>
      </c>
      <c r="G5" s="7" t="inlineStr">
        <is>
          <t>5,000 Users</t>
        </is>
      </c>
    </row>
    <row r="6">
      <c r="B6" s="4" t="inlineStr">
        <is>
          <t>Free Users (60%)</t>
        </is>
      </c>
      <c r="C6" s="20" t="n">
        <v>30</v>
      </c>
      <c r="D6" s="20" t="n">
        <v>60</v>
      </c>
      <c r="E6" s="20" t="n">
        <v>300</v>
      </c>
      <c r="F6" s="20" t="n">
        <v>600</v>
      </c>
      <c r="G6" s="20" t="n">
        <v>3000</v>
      </c>
    </row>
    <row r="7">
      <c r="B7" s="4" t="inlineStr">
        <is>
          <t>Basic Users @ $9.99 (25%)</t>
        </is>
      </c>
      <c r="C7" s="20" t="n">
        <v>12</v>
      </c>
      <c r="D7" s="20" t="n">
        <v>25</v>
      </c>
      <c r="E7" s="20" t="n">
        <v>125</v>
      </c>
      <c r="F7" s="20" t="n">
        <v>250</v>
      </c>
      <c r="G7" s="20" t="n">
        <v>1250</v>
      </c>
    </row>
    <row r="8">
      <c r="B8" s="4" t="inlineStr">
        <is>
          <t>Pro Users @ $19.99 (15%)</t>
        </is>
      </c>
      <c r="C8" s="20" t="n">
        <v>8</v>
      </c>
      <c r="D8" s="20" t="n">
        <v>15</v>
      </c>
      <c r="E8" s="20" t="n">
        <v>75</v>
      </c>
      <c r="F8" s="20" t="n">
        <v>150</v>
      </c>
      <c r="G8" s="20" t="n">
        <v>750</v>
      </c>
    </row>
    <row r="9">
      <c r="B9" s="25" t="inlineStr">
        <is>
          <t>Monthly Revenue</t>
        </is>
      </c>
      <c r="C9" s="26">
        <f>C7*9.99+C8*19.99</f>
        <v/>
      </c>
      <c r="D9" s="26">
        <f>D7*9.99+D8*19.99</f>
        <v/>
      </c>
      <c r="E9" s="26">
        <f>E7*9.99+E8*19.99</f>
        <v/>
      </c>
      <c r="F9" s="26">
        <f>F7*9.99+F8*19.99</f>
        <v/>
      </c>
      <c r="G9" s="26">
        <f>G7*9.99+G8*19.99</f>
        <v/>
      </c>
    </row>
    <row r="11">
      <c r="B11" s="5" t="inlineStr">
        <is>
          <t>Model B: Subscription Only — 14-day free trial, then $9.99/mo or $19.99/mo</t>
        </is>
      </c>
      <c r="C11" s="6" t="n"/>
      <c r="D11" s="6" t="n"/>
      <c r="E11" s="6" t="n"/>
      <c r="F11" s="6" t="n"/>
      <c r="G11" s="6" t="n"/>
    </row>
    <row r="12">
      <c r="B12" s="24" t="inlineStr">
        <is>
          <t>Assumption: 50% convert after trial. Of converts: 60% Basic, 40% Pro</t>
        </is>
      </c>
    </row>
    <row r="13">
      <c r="A13" s="7" t="n"/>
      <c r="B13" s="7" t="inlineStr">
        <is>
          <t>Metric</t>
        </is>
      </c>
      <c r="C13" s="7" t="inlineStr">
        <is>
          <t>50 Users</t>
        </is>
      </c>
      <c r="D13" s="7" t="inlineStr">
        <is>
          <t>100 Users</t>
        </is>
      </c>
      <c r="E13" s="7" t="inlineStr">
        <is>
          <t>500 Users</t>
        </is>
      </c>
      <c r="F13" s="7" t="inlineStr">
        <is>
          <t>1,000 Users</t>
        </is>
      </c>
      <c r="G13" s="7" t="inlineStr">
        <is>
          <t>5,000 Users</t>
        </is>
      </c>
    </row>
    <row r="14">
      <c r="B14" s="4" t="inlineStr">
        <is>
          <t>Trial Users (not paying)</t>
        </is>
      </c>
      <c r="C14" s="20" t="n">
        <v>25</v>
      </c>
      <c r="D14" s="20" t="n">
        <v>50</v>
      </c>
      <c r="E14" s="20" t="n">
        <v>250</v>
      </c>
      <c r="F14" s="20" t="n">
        <v>500</v>
      </c>
      <c r="G14" s="20" t="n">
        <v>2500</v>
      </c>
    </row>
    <row r="15">
      <c r="B15" s="4" t="inlineStr">
        <is>
          <t>Basic Subscribers @ $9.99 (30%)</t>
        </is>
      </c>
      <c r="C15" s="20" t="n">
        <v>15</v>
      </c>
      <c r="D15" s="20" t="n">
        <v>30</v>
      </c>
      <c r="E15" s="20" t="n">
        <v>150</v>
      </c>
      <c r="F15" s="20" t="n">
        <v>300</v>
      </c>
      <c r="G15" s="20" t="n">
        <v>1500</v>
      </c>
    </row>
    <row r="16">
      <c r="B16" s="4" t="inlineStr">
        <is>
          <t>Pro Subscribers @ $19.99 (20%)</t>
        </is>
      </c>
      <c r="C16" s="20" t="n">
        <v>10</v>
      </c>
      <c r="D16" s="20" t="n">
        <v>20</v>
      </c>
      <c r="E16" s="20" t="n">
        <v>100</v>
      </c>
      <c r="F16" s="20" t="n">
        <v>200</v>
      </c>
      <c r="G16" s="20" t="n">
        <v>1000</v>
      </c>
    </row>
    <row r="17">
      <c r="B17" s="25" t="inlineStr">
        <is>
          <t>Monthly Revenue</t>
        </is>
      </c>
      <c r="C17" s="26">
        <f>C15*9.99+C16*19.99</f>
        <v/>
      </c>
      <c r="D17" s="26">
        <f>D15*9.99+D16*19.99</f>
        <v/>
      </c>
      <c r="E17" s="26">
        <f>E15*9.99+E16*19.99</f>
        <v/>
      </c>
      <c r="F17" s="26">
        <f>F15*9.99+F16*19.99</f>
        <v/>
      </c>
      <c r="G17" s="26">
        <f>G15*9.99+G16*19.99</f>
        <v/>
      </c>
    </row>
    <row r="19">
      <c r="B19" s="5" t="inlineStr">
        <is>
          <t>Model C: Pay-per-Use — Credit packs ($4.99/50cr, $9.99/120cr, $24.99/350cr)</t>
        </is>
      </c>
      <c r="C19" s="6" t="n"/>
      <c r="D19" s="6" t="n"/>
      <c r="E19" s="6" t="n"/>
      <c r="F19" s="6" t="n"/>
      <c r="G19" s="6" t="n"/>
    </row>
    <row r="20">
      <c r="B20" s="24" t="inlineStr">
        <is>
          <t>Assumption: Avg spend $3/mo (light), $10/mo (med), $25/mo (heavy). Mix: 40/40/20</t>
        </is>
      </c>
    </row>
    <row r="21">
      <c r="A21" s="7" t="n"/>
      <c r="B21" s="7" t="inlineStr">
        <is>
          <t>Metric</t>
        </is>
      </c>
      <c r="C21" s="7" t="inlineStr">
        <is>
          <t>50 Users</t>
        </is>
      </c>
      <c r="D21" s="7" t="inlineStr">
        <is>
          <t>100 Users</t>
        </is>
      </c>
      <c r="E21" s="7" t="inlineStr">
        <is>
          <t>500 Users</t>
        </is>
      </c>
      <c r="F21" s="7" t="inlineStr">
        <is>
          <t>1,000 Users</t>
        </is>
      </c>
      <c r="G21" s="7" t="inlineStr">
        <is>
          <t>5,000 Users</t>
        </is>
      </c>
    </row>
    <row r="22">
      <c r="B22" s="4" t="inlineStr">
        <is>
          <t>Light Users ($3/mo avg) — 40%</t>
        </is>
      </c>
      <c r="C22" s="21" t="n">
        <v>60</v>
      </c>
      <c r="D22" s="21" t="n">
        <v>120</v>
      </c>
      <c r="E22" s="21" t="n">
        <v>600</v>
      </c>
      <c r="F22" s="21" t="n">
        <v>1200</v>
      </c>
      <c r="G22" s="21" t="n">
        <v>6000</v>
      </c>
    </row>
    <row r="23">
      <c r="B23" s="4" t="inlineStr">
        <is>
          <t>Medium Users ($10/mo avg) — 40%</t>
        </is>
      </c>
      <c r="C23" s="21" t="n">
        <v>200</v>
      </c>
      <c r="D23" s="21" t="n">
        <v>400</v>
      </c>
      <c r="E23" s="21" t="n">
        <v>2000</v>
      </c>
      <c r="F23" s="21" t="n">
        <v>4000</v>
      </c>
      <c r="G23" s="21" t="n">
        <v>20000</v>
      </c>
    </row>
    <row r="24">
      <c r="B24" s="4" t="inlineStr">
        <is>
          <t>Heavy Users ($25/mo avg) — 20%</t>
        </is>
      </c>
      <c r="C24" s="21" t="n">
        <v>250</v>
      </c>
      <c r="D24" s="21" t="n">
        <v>500</v>
      </c>
      <c r="E24" s="21" t="n">
        <v>2500</v>
      </c>
      <c r="F24" s="21" t="n">
        <v>5000</v>
      </c>
      <c r="G24" s="21" t="n">
        <v>25000</v>
      </c>
    </row>
    <row r="25">
      <c r="B25" s="25" t="inlineStr">
        <is>
          <t>Monthly Revenue</t>
        </is>
      </c>
      <c r="C25" s="26">
        <f>C22+C23+C24</f>
        <v/>
      </c>
      <c r="D25" s="26">
        <f>D22+D23+D24</f>
        <v/>
      </c>
      <c r="E25" s="26">
        <f>E22+E23+E24</f>
        <v/>
      </c>
      <c r="F25" s="26">
        <f>F22+F23+F24</f>
        <v/>
      </c>
      <c r="G25" s="26">
        <f>G22+G23+G24</f>
        <v/>
      </c>
    </row>
    <row r="27">
      <c r="B27" s="5" t="inlineStr">
        <is>
          <t>Model D: Free — No Revenue (Growth Phase / Fundraising Strategy)</t>
        </is>
      </c>
      <c r="C27" s="6" t="n"/>
      <c r="D27" s="6" t="n"/>
      <c r="E27" s="6" t="n"/>
      <c r="F27" s="6" t="n"/>
      <c r="G27" s="6" t="n"/>
    </row>
    <row r="28">
      <c r="B28" s="24" t="inlineStr">
        <is>
          <t>Focus: User acquisition, engagement metrics, fundraising based on traction</t>
        </is>
      </c>
    </row>
    <row r="29">
      <c r="A29" s="7" t="n"/>
      <c r="B29" s="7" t="inlineStr">
        <is>
          <t>Metric</t>
        </is>
      </c>
      <c r="C29" s="7" t="inlineStr">
        <is>
          <t>50 Users</t>
        </is>
      </c>
      <c r="D29" s="7" t="inlineStr">
        <is>
          <t>100 Users</t>
        </is>
      </c>
      <c r="E29" s="7" t="inlineStr">
        <is>
          <t>500 Users</t>
        </is>
      </c>
      <c r="F29" s="7" t="inlineStr">
        <is>
          <t>1,000 Users</t>
        </is>
      </c>
      <c r="G29" s="7" t="inlineStr">
        <is>
          <t>5,000 Users</t>
        </is>
      </c>
    </row>
    <row r="30">
      <c r="B30" s="27" t="inlineStr">
        <is>
          <t>Monthly Revenue</t>
        </is>
      </c>
      <c r="C30" s="28" t="n">
        <v>0</v>
      </c>
      <c r="D30" s="28" t="n">
        <v>0</v>
      </c>
      <c r="E30" s="28" t="n">
        <v>0</v>
      </c>
      <c r="F30" s="28" t="n">
        <v>0</v>
      </c>
      <c r="G30" s="28" t="n">
        <v>0</v>
      </c>
    </row>
    <row r="31">
      <c r="B31" s="4" t="inlineStr">
        <is>
          <t>KPI: Monthly Active Users (MAU)</t>
        </is>
      </c>
      <c r="C31" s="29" t="n">
        <v>50</v>
      </c>
      <c r="D31" s="29" t="n">
        <v>100</v>
      </c>
      <c r="E31" s="29" t="n">
        <v>500</v>
      </c>
      <c r="F31" s="29" t="n">
        <v>1000</v>
      </c>
      <c r="G31" s="29" t="n">
        <v>5000</v>
      </c>
    </row>
    <row r="32">
      <c r="B32" s="4" t="inlineStr">
        <is>
          <t>KPI: Avg Sessions/User/Week</t>
        </is>
      </c>
      <c r="C32" s="30" t="n">
        <v>3.5</v>
      </c>
      <c r="D32" s="30" t="n">
        <v>3.5</v>
      </c>
      <c r="E32" s="30" t="n">
        <v>3.5</v>
      </c>
      <c r="F32" s="30" t="n">
        <v>3.5</v>
      </c>
      <c r="G32" s="30" t="n">
        <v>3.5</v>
      </c>
    </row>
    <row r="33">
      <c r="B33" s="4" t="inlineStr">
        <is>
          <t>Fundraising valuation multiplier</t>
        </is>
      </c>
      <c r="C33" s="31" t="inlineStr">
        <is>
          <t>$50-150 per MAU in EdTech (seed stage)</t>
        </is>
      </c>
    </row>
  </sheetData>
  <mergeCells count="6">
    <mergeCell ref="B3:G3"/>
    <mergeCell ref="B19:G19"/>
    <mergeCell ref="B27:G27"/>
    <mergeCell ref="B1:G1"/>
    <mergeCell ref="C33:G33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4336"/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3" customWidth="1" min="16" max="16"/>
  </cols>
  <sheetData>
    <row r="1" ht="40" customHeight="1">
      <c r="B1" s="1" t="inlineStr">
        <is>
          <t>12-Month Cash Flow Projection — Subscription Model (B) @ 500 Users Target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3">
      <c r="B3" s="11" t="inlineStr">
        <is>
          <t>Scenario: Grow from 0 → 500 active users over 12 months</t>
        </is>
      </c>
    </row>
    <row r="4">
      <c r="A4" s="7" t="n"/>
      <c r="B4" s="7" t="inlineStr"/>
      <c r="C4" s="7" t="inlineStr">
        <is>
          <t>M1</t>
        </is>
      </c>
      <c r="D4" s="7" t="inlineStr">
        <is>
          <t>M2</t>
        </is>
      </c>
      <c r="E4" s="7" t="inlineStr">
        <is>
          <t>M3</t>
        </is>
      </c>
      <c r="F4" s="7" t="inlineStr">
        <is>
          <t>M4</t>
        </is>
      </c>
      <c r="G4" s="7" t="inlineStr">
        <is>
          <t>M5</t>
        </is>
      </c>
      <c r="H4" s="7" t="inlineStr">
        <is>
          <t>M6</t>
        </is>
      </c>
      <c r="I4" s="7" t="inlineStr">
        <is>
          <t>M7</t>
        </is>
      </c>
      <c r="J4" s="7" t="inlineStr">
        <is>
          <t>M8</t>
        </is>
      </c>
      <c r="K4" s="7" t="inlineStr">
        <is>
          <t>M9</t>
        </is>
      </c>
      <c r="L4" s="7" t="inlineStr">
        <is>
          <t>M10</t>
        </is>
      </c>
      <c r="M4" s="7" t="inlineStr">
        <is>
          <t>M11</t>
        </is>
      </c>
      <c r="N4" s="7" t="inlineStr">
        <is>
          <t>M12</t>
        </is>
      </c>
      <c r="O4" s="7" t="inlineStr">
        <is>
          <t>TOTAL</t>
        </is>
      </c>
    </row>
    <row r="5">
      <c r="B5" s="5" t="inlineStr">
        <is>
          <t>USER GROWTH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B6" s="4" t="inlineStr">
        <is>
          <t>New Users</t>
        </is>
      </c>
      <c r="C6" s="16" t="n">
        <v>20</v>
      </c>
      <c r="D6" s="16" t="n">
        <v>30</v>
      </c>
      <c r="E6" s="16" t="n">
        <v>40</v>
      </c>
      <c r="F6" s="16" t="n">
        <v>50</v>
      </c>
      <c r="G6" s="16" t="n">
        <v>50</v>
      </c>
      <c r="H6" s="16" t="n">
        <v>50</v>
      </c>
      <c r="I6" s="16" t="n">
        <v>40</v>
      </c>
      <c r="J6" s="16" t="n">
        <v>40</v>
      </c>
      <c r="K6" s="16" t="n">
        <v>40</v>
      </c>
      <c r="L6" s="16" t="n">
        <v>50</v>
      </c>
      <c r="M6" s="16" t="n">
        <v>50</v>
      </c>
      <c r="N6" s="16" t="n">
        <v>40</v>
      </c>
    </row>
    <row r="7">
      <c r="B7" s="4" t="inlineStr">
        <is>
          <t>Churn Rate</t>
        </is>
      </c>
      <c r="C7" s="32" t="n">
        <v>0.05</v>
      </c>
      <c r="D7" s="32" t="n">
        <v>0.05</v>
      </c>
      <c r="E7" s="32" t="n">
        <v>0.05</v>
      </c>
      <c r="F7" s="32" t="n">
        <v>0.05</v>
      </c>
      <c r="G7" s="32" t="n">
        <v>0.05</v>
      </c>
      <c r="H7" s="32" t="n">
        <v>0.05</v>
      </c>
      <c r="I7" s="32" t="n">
        <v>0.05</v>
      </c>
      <c r="J7" s="32" t="n">
        <v>0.05</v>
      </c>
      <c r="K7" s="32" t="n">
        <v>0.05</v>
      </c>
      <c r="L7" s="32" t="n">
        <v>0.05</v>
      </c>
      <c r="M7" s="32" t="n">
        <v>0.05</v>
      </c>
      <c r="N7" s="32" t="n">
        <v>0.05</v>
      </c>
    </row>
    <row r="8">
      <c r="B8" s="3" t="inlineStr">
        <is>
          <t>Active Users (cumulative)</t>
        </is>
      </c>
      <c r="C8" s="20">
        <f>C6</f>
        <v/>
      </c>
      <c r="D8" s="20">
        <f>ROUND(C8*(1-D7)+D6,0)</f>
        <v/>
      </c>
      <c r="E8" s="20">
        <f>ROUND(D8*(1-E7)+E6,0)</f>
        <v/>
      </c>
      <c r="F8" s="20">
        <f>ROUND(E8*(1-F7)+F6,0)</f>
        <v/>
      </c>
      <c r="G8" s="20">
        <f>ROUND(F8*(1-G7)+G6,0)</f>
        <v/>
      </c>
      <c r="H8" s="20">
        <f>ROUND(G8*(1-H7)+H6,0)</f>
        <v/>
      </c>
      <c r="I8" s="20">
        <f>ROUND(H8*(1-I7)+I6,0)</f>
        <v/>
      </c>
      <c r="J8" s="20">
        <f>ROUND(I8*(1-J7)+J6,0)</f>
        <v/>
      </c>
      <c r="K8" s="20">
        <f>ROUND(J8*(1-K7)+K6,0)</f>
        <v/>
      </c>
      <c r="L8" s="20">
        <f>ROUND(K8*(1-L7)+L6,0)</f>
        <v/>
      </c>
      <c r="M8" s="20">
        <f>ROUND(L8*(1-M7)+M6,0)</f>
        <v/>
      </c>
      <c r="N8" s="20">
        <f>ROUND(M8*(1-N7)+N6,0)</f>
        <v/>
      </c>
      <c r="O8" s="20">
        <f>N8</f>
        <v/>
      </c>
    </row>
    <row r="9">
      <c r="B9" s="4" t="inlineStr">
        <is>
          <t>Paying Users (50% conversion)</t>
        </is>
      </c>
      <c r="C9" s="20">
        <f>ROUND(C8*0.5,0)</f>
        <v/>
      </c>
      <c r="D9" s="20">
        <f>ROUND(D8*0.5,0)</f>
        <v/>
      </c>
      <c r="E9" s="20">
        <f>ROUND(E8*0.5,0)</f>
        <v/>
      </c>
      <c r="F9" s="20">
        <f>ROUND(F8*0.5,0)</f>
        <v/>
      </c>
      <c r="G9" s="20">
        <f>ROUND(G8*0.5,0)</f>
        <v/>
      </c>
      <c r="H9" s="20">
        <f>ROUND(H8*0.5,0)</f>
        <v/>
      </c>
      <c r="I9" s="20">
        <f>ROUND(I8*0.5,0)</f>
        <v/>
      </c>
      <c r="J9" s="20">
        <f>ROUND(J8*0.5,0)</f>
        <v/>
      </c>
      <c r="K9" s="20">
        <f>ROUND(K8*0.5,0)</f>
        <v/>
      </c>
      <c r="L9" s="20">
        <f>ROUND(L8*0.5,0)</f>
        <v/>
      </c>
      <c r="M9" s="20">
        <f>ROUND(M8*0.5,0)</f>
        <v/>
      </c>
      <c r="N9" s="20">
        <f>ROUND(N8*0.5,0)</f>
        <v/>
      </c>
      <c r="O9" s="33">
        <f>N9</f>
        <v/>
      </c>
    </row>
    <row r="11">
      <c r="B11" s="5" t="inlineStr">
        <is>
          <t>REVENUE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B12" s="4" t="inlineStr">
        <is>
          <t>Avg Revenue/Paying User</t>
        </is>
      </c>
      <c r="C12" s="12" t="n">
        <v>13.99</v>
      </c>
      <c r="D12" s="12" t="n">
        <v>13.99</v>
      </c>
      <c r="E12" s="12" t="n">
        <v>13.99</v>
      </c>
      <c r="F12" s="12" t="n">
        <v>13.99</v>
      </c>
      <c r="G12" s="12" t="n">
        <v>13.99</v>
      </c>
      <c r="H12" s="12" t="n">
        <v>13.99</v>
      </c>
      <c r="I12" s="12" t="n">
        <v>13.99</v>
      </c>
      <c r="J12" s="12" t="n">
        <v>13.99</v>
      </c>
      <c r="K12" s="12" t="n">
        <v>13.99</v>
      </c>
      <c r="L12" s="12" t="n">
        <v>13.99</v>
      </c>
      <c r="M12" s="12" t="n">
        <v>13.99</v>
      </c>
      <c r="N12" s="12" t="n">
        <v>13.99</v>
      </c>
    </row>
    <row r="13">
      <c r="B13" s="25" t="inlineStr">
        <is>
          <t>Monthly Revenue</t>
        </is>
      </c>
      <c r="C13" s="34">
        <f>C9*C12</f>
        <v/>
      </c>
      <c r="D13" s="34">
        <f>D9*D12</f>
        <v/>
      </c>
      <c r="E13" s="34">
        <f>E9*E12</f>
        <v/>
      </c>
      <c r="F13" s="34">
        <f>F9*F12</f>
        <v/>
      </c>
      <c r="G13" s="34">
        <f>G9*G12</f>
        <v/>
      </c>
      <c r="H13" s="34">
        <f>H9*H12</f>
        <v/>
      </c>
      <c r="I13" s="34">
        <f>I9*I12</f>
        <v/>
      </c>
      <c r="J13" s="34">
        <f>J9*J12</f>
        <v/>
      </c>
      <c r="K13" s="34">
        <f>K9*K12</f>
        <v/>
      </c>
      <c r="L13" s="34">
        <f>L9*L12</f>
        <v/>
      </c>
      <c r="M13" s="34">
        <f>M9*M12</f>
        <v/>
      </c>
      <c r="N13" s="34">
        <f>N9*N12</f>
        <v/>
      </c>
      <c r="O13" s="35">
        <f>SUM(C13:N13)</f>
        <v/>
      </c>
    </row>
    <row r="15">
      <c r="B15" s="5" t="inlineStr">
        <is>
          <t>COSTS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B16" s="4" t="inlineStr">
        <is>
          <t>Claude AI API</t>
        </is>
      </c>
      <c r="C16" s="21">
        <f>C8*13.30</f>
        <v/>
      </c>
      <c r="D16" s="21">
        <f>D8*13.30</f>
        <v/>
      </c>
      <c r="E16" s="21">
        <f>E8*13.30</f>
        <v/>
      </c>
      <c r="F16" s="21">
        <f>F8*13.30</f>
        <v/>
      </c>
      <c r="G16" s="21">
        <f>G8*13.30</f>
        <v/>
      </c>
      <c r="H16" s="21">
        <f>H8*13.30</f>
        <v/>
      </c>
      <c r="I16" s="21">
        <f>I8*13.30</f>
        <v/>
      </c>
      <c r="J16" s="21">
        <f>J8*13.30</f>
        <v/>
      </c>
      <c r="K16" s="21">
        <f>K8*13.30</f>
        <v/>
      </c>
      <c r="L16" s="21">
        <f>L8*13.30</f>
        <v/>
      </c>
      <c r="M16" s="21">
        <f>M8*13.30</f>
        <v/>
      </c>
      <c r="N16" s="21">
        <f>N8*13.30</f>
        <v/>
      </c>
    </row>
    <row r="17">
      <c r="B17" s="4" t="inlineStr">
        <is>
          <t>Infrastructure</t>
        </is>
      </c>
      <c r="C17" s="22" t="n">
        <v>38</v>
      </c>
      <c r="D17" s="22" t="n">
        <v>38</v>
      </c>
      <c r="E17" s="22" t="n">
        <v>38</v>
      </c>
      <c r="F17" s="22" t="n">
        <v>60</v>
      </c>
      <c r="G17" s="22" t="n">
        <v>60</v>
      </c>
      <c r="H17" s="22" t="n">
        <v>60</v>
      </c>
      <c r="I17" s="22" t="n">
        <v>90</v>
      </c>
      <c r="J17" s="22" t="n">
        <v>90</v>
      </c>
      <c r="K17" s="22" t="n">
        <v>90</v>
      </c>
      <c r="L17" s="22" t="n">
        <v>120</v>
      </c>
      <c r="M17" s="22" t="n">
        <v>120</v>
      </c>
      <c r="N17" s="22" t="n">
        <v>120</v>
      </c>
    </row>
    <row r="18">
      <c r="B18" s="4" t="inlineStr">
        <is>
          <t>Marketing &amp; Growth</t>
        </is>
      </c>
      <c r="C18" s="22" t="n">
        <v>2000</v>
      </c>
      <c r="D18" s="22" t="n">
        <v>1500</v>
      </c>
      <c r="E18" s="22" t="n">
        <v>1500</v>
      </c>
      <c r="F18" s="22" t="n">
        <v>1500</v>
      </c>
      <c r="G18" s="22" t="n">
        <v>1000</v>
      </c>
      <c r="H18" s="22" t="n">
        <v>1000</v>
      </c>
      <c r="I18" s="22" t="n">
        <v>1000</v>
      </c>
      <c r="J18" s="22" t="n">
        <v>1000</v>
      </c>
      <c r="K18" s="22" t="n">
        <v>1000</v>
      </c>
      <c r="L18" s="22" t="n">
        <v>1500</v>
      </c>
      <c r="M18" s="22" t="n">
        <v>1500</v>
      </c>
      <c r="N18" s="22" t="n">
        <v>1000</v>
      </c>
    </row>
    <row r="19">
      <c r="B19" s="4" t="inlineStr">
        <is>
          <t>Contractors / Professionals</t>
        </is>
      </c>
      <c r="C19" s="22" t="n">
        <v>3000</v>
      </c>
      <c r="D19" s="22" t="n">
        <v>2000</v>
      </c>
      <c r="E19" s="22" t="n">
        <v>2000</v>
      </c>
      <c r="F19" s="22" t="n">
        <v>2000</v>
      </c>
      <c r="G19" s="22" t="n">
        <v>2000</v>
      </c>
      <c r="H19" s="22" t="n">
        <v>2000</v>
      </c>
      <c r="I19" s="22" t="n">
        <v>2000</v>
      </c>
      <c r="J19" s="22" t="n">
        <v>2000</v>
      </c>
      <c r="K19" s="22" t="n">
        <v>2000</v>
      </c>
      <c r="L19" s="22" t="n">
        <v>2000</v>
      </c>
      <c r="M19" s="22" t="n">
        <v>2000</v>
      </c>
      <c r="N19" s="22" t="n">
        <v>2000</v>
      </c>
    </row>
    <row r="20">
      <c r="B20" s="4" t="inlineStr">
        <is>
          <t>One-Time Setup (M1 only)</t>
        </is>
      </c>
      <c r="C20" s="22" t="n">
        <v>9200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</row>
    <row r="21">
      <c r="B21" s="27" t="inlineStr">
        <is>
          <t>TOTAL Costs</t>
        </is>
      </c>
      <c r="C21" s="36">
        <f>C16+C17+C18+C19+C20</f>
        <v/>
      </c>
      <c r="D21" s="36">
        <f>D16+D17+D18+D19+D20</f>
        <v/>
      </c>
      <c r="E21" s="36">
        <f>E16+E17+E18+E19+E20</f>
        <v/>
      </c>
      <c r="F21" s="36">
        <f>F16+F17+F18+F19+F20</f>
        <v/>
      </c>
      <c r="G21" s="36">
        <f>G16+G17+G18+G19+G20</f>
        <v/>
      </c>
      <c r="H21" s="36">
        <f>H16+H17+H18+H19+H20</f>
        <v/>
      </c>
      <c r="I21" s="36">
        <f>I16+I17+I18+I19+I20</f>
        <v/>
      </c>
      <c r="J21" s="36">
        <f>J16+J17+J18+J19+J20</f>
        <v/>
      </c>
      <c r="K21" s="36">
        <f>K16+K17+K18+K19+K20</f>
        <v/>
      </c>
      <c r="L21" s="36">
        <f>L16+L17+L18+L19+L20</f>
        <v/>
      </c>
      <c r="M21" s="36">
        <f>M16+M17+M18+M19+M20</f>
        <v/>
      </c>
      <c r="N21" s="36">
        <f>N16+N17+N18+N19+N20</f>
        <v/>
      </c>
      <c r="O21" s="37">
        <f>SUM(C21:N21)</f>
        <v/>
      </c>
    </row>
    <row r="23">
      <c r="B23" s="38" t="inlineStr">
        <is>
          <t>NET Monthly Cash Flow</t>
        </is>
      </c>
      <c r="C23" s="39">
        <f>C13-C21</f>
        <v/>
      </c>
      <c r="D23" s="39">
        <f>D13-D21</f>
        <v/>
      </c>
      <c r="E23" s="39">
        <f>E13-E21</f>
        <v/>
      </c>
      <c r="F23" s="39">
        <f>F13-F21</f>
        <v/>
      </c>
      <c r="G23" s="39">
        <f>G13-G21</f>
        <v/>
      </c>
      <c r="H23" s="39">
        <f>H13-H21</f>
        <v/>
      </c>
      <c r="I23" s="39">
        <f>I13-I21</f>
        <v/>
      </c>
      <c r="J23" s="39">
        <f>J13-J21</f>
        <v/>
      </c>
      <c r="K23" s="39">
        <f>K13-K21</f>
        <v/>
      </c>
      <c r="L23" s="39">
        <f>L13-L21</f>
        <v/>
      </c>
      <c r="M23" s="39">
        <f>M13-M21</f>
        <v/>
      </c>
      <c r="N23" s="39">
        <f>N13-N21</f>
        <v/>
      </c>
      <c r="O23" s="39">
        <f>SUM(C23:N23)</f>
        <v/>
      </c>
    </row>
    <row r="24">
      <c r="B24" s="3" t="inlineStr">
        <is>
          <t>Cumulative Cash Position</t>
        </is>
      </c>
      <c r="C24" s="10">
        <f>C23</f>
        <v/>
      </c>
      <c r="D24" s="10">
        <f>C24+D23</f>
        <v/>
      </c>
      <c r="E24" s="10">
        <f>D24+E23</f>
        <v/>
      </c>
      <c r="F24" s="10">
        <f>E24+F23</f>
        <v/>
      </c>
      <c r="G24" s="10">
        <f>F24+G23</f>
        <v/>
      </c>
      <c r="H24" s="10">
        <f>G24+H23</f>
        <v/>
      </c>
      <c r="I24" s="10">
        <f>H24+I23</f>
        <v/>
      </c>
      <c r="J24" s="10">
        <f>I24+J23</f>
        <v/>
      </c>
      <c r="K24" s="10">
        <f>J24+K23</f>
        <v/>
      </c>
      <c r="L24" s="10">
        <f>K24+L23</f>
        <v/>
      </c>
      <c r="M24" s="10">
        <f>L24+M23</f>
        <v/>
      </c>
      <c r="N24" s="10">
        <f>M24+N23</f>
        <v/>
      </c>
      <c r="O24" s="40">
        <f>N24</f>
        <v/>
      </c>
    </row>
  </sheetData>
  <mergeCells count="5">
    <mergeCell ref="B1:O1"/>
    <mergeCell ref="B15:O15"/>
    <mergeCell ref="B11:O11"/>
    <mergeCell ref="B3:O3"/>
    <mergeCell ref="B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27B0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8" customWidth="1" min="4" max="4"/>
    <col width="16" customWidth="1" min="5" max="5"/>
    <col width="18" customWidth="1" min="6" max="6"/>
    <col width="35" customWidth="1" min="7" max="7"/>
    <col width="3" customWidth="1" min="8" max="8"/>
  </cols>
  <sheetData>
    <row r="1" ht="40" customHeight="1">
      <c r="B1" s="1" t="inlineStr">
        <is>
          <t>NoteSnap Product Launch Plan — Detailed Timeline</t>
        </is>
      </c>
      <c r="C1" s="2" t="n"/>
      <c r="D1" s="2" t="n"/>
      <c r="E1" s="2" t="n"/>
      <c r="F1" s="2" t="n"/>
      <c r="G1" s="2" t="n"/>
    </row>
    <row r="3">
      <c r="A3" s="7" t="n"/>
      <c r="B3" s="7" t="inlineStr">
        <is>
          <t>Week</t>
        </is>
      </c>
      <c r="C3" s="7" t="inlineStr">
        <is>
          <t>Task</t>
        </is>
      </c>
      <c r="D3" s="7" t="inlineStr">
        <is>
          <t>Owner</t>
        </is>
      </c>
      <c r="E3" s="7" t="inlineStr">
        <is>
          <t>Cost Est.</t>
        </is>
      </c>
      <c r="F3" s="7" t="inlineStr">
        <is>
          <t>Priority</t>
        </is>
      </c>
      <c r="G3" s="7" t="inlineStr">
        <is>
          <t>Dependencies</t>
        </is>
      </c>
    </row>
    <row r="4">
      <c r="B4" s="5" t="inlineStr">
        <is>
          <t>PHASE 1: PRE-LAUNCH (Weeks 1-2)</t>
        </is>
      </c>
      <c r="C4" s="6" t="n"/>
      <c r="D4" s="6" t="n"/>
      <c r="E4" s="6" t="n"/>
      <c r="F4" s="6" t="n"/>
      <c r="G4" s="6" t="n"/>
    </row>
    <row r="5">
      <c r="B5" s="4" t="inlineStr">
        <is>
          <t>W1</t>
        </is>
      </c>
      <c r="C5" s="4" t="inlineStr">
        <is>
          <t>Legal: Privacy Policy + ToS + GDPR compliance</t>
        </is>
      </c>
      <c r="D5" s="4" t="inlineStr">
        <is>
          <t>Lawyer</t>
        </is>
      </c>
      <c r="E5" s="30" t="inlineStr">
        <is>
          <t>$2,000</t>
        </is>
      </c>
      <c r="F5" s="41" t="inlineStr">
        <is>
          <t>P0</t>
        </is>
      </c>
      <c r="G5" s="23" t="inlineStr">
        <is>
          <t>None</t>
        </is>
      </c>
    </row>
    <row r="6">
      <c r="B6" s="4" t="inlineStr">
        <is>
          <t>W1</t>
        </is>
      </c>
      <c r="C6" s="4" t="inlineStr">
        <is>
          <t>Landing page: hero, features, waitlist, pricing</t>
        </is>
      </c>
      <c r="D6" s="4" t="inlineStr">
        <is>
          <t>Designer+Dev</t>
        </is>
      </c>
      <c r="E6" s="30" t="inlineStr">
        <is>
          <t>$1,500</t>
        </is>
      </c>
      <c r="F6" s="41" t="inlineStr">
        <is>
          <t>P0</t>
        </is>
      </c>
      <c r="G6" s="23" t="inlineStr">
        <is>
          <t>None</t>
        </is>
      </c>
    </row>
    <row r="7">
      <c r="B7" s="4" t="inlineStr">
        <is>
          <t>W1</t>
        </is>
      </c>
      <c r="C7" s="4" t="inlineStr">
        <is>
          <t>SEO audit: meta tags, sitemap, structured data</t>
        </is>
      </c>
      <c r="D7" s="4" t="inlineStr">
        <is>
          <t>SEO Specialist</t>
        </is>
      </c>
      <c r="E7" s="30" t="inlineStr">
        <is>
          <t>$800</t>
        </is>
      </c>
      <c r="F7" s="41" t="inlineStr">
        <is>
          <t>P0</t>
        </is>
      </c>
      <c r="G7" s="23" t="inlineStr">
        <is>
          <t>Landing page</t>
        </is>
      </c>
    </row>
    <row r="8">
      <c r="B8" s="4" t="inlineStr">
        <is>
          <t>W1</t>
        </is>
      </c>
      <c r="C8" s="4" t="inlineStr">
        <is>
          <t>Payment integration: Stripe setup + webhooks</t>
        </is>
      </c>
      <c r="D8" s="4" t="inlineStr">
        <is>
          <t>Developer</t>
        </is>
      </c>
      <c r="E8" s="30" t="inlineStr">
        <is>
          <t>$500</t>
        </is>
      </c>
      <c r="F8" s="41" t="inlineStr">
        <is>
          <t>P0</t>
        </is>
      </c>
      <c r="G8" s="23" t="inlineStr">
        <is>
          <t>Pricing decision</t>
        </is>
      </c>
    </row>
    <row r="9">
      <c r="B9" s="4" t="inlineStr">
        <is>
          <t>W1</t>
        </is>
      </c>
      <c r="C9" s="4" t="inlineStr">
        <is>
          <t>Analytics: Mixpanel/PostHog + conversion funnels</t>
        </is>
      </c>
      <c r="D9" s="4" t="inlineStr">
        <is>
          <t>Developer</t>
        </is>
      </c>
      <c r="E9" s="30" t="inlineStr">
        <is>
          <t>$0</t>
        </is>
      </c>
      <c r="F9" s="42" t="inlineStr">
        <is>
          <t>P1</t>
        </is>
      </c>
      <c r="G9" s="23" t="inlineStr">
        <is>
          <t>None</t>
        </is>
      </c>
    </row>
    <row r="10">
      <c r="B10" s="4" t="inlineStr">
        <is>
          <t>W1</t>
        </is>
      </c>
      <c r="C10" s="4" t="inlineStr">
        <is>
          <t>Brand refresh: logo polish, social banners, favicon</t>
        </is>
      </c>
      <c r="D10" s="4" t="inlineStr">
        <is>
          <t>Designer</t>
        </is>
      </c>
      <c r="E10" s="30" t="inlineStr">
        <is>
          <t>$500</t>
        </is>
      </c>
      <c r="F10" s="42" t="inlineStr">
        <is>
          <t>P1</t>
        </is>
      </c>
      <c r="G10" s="23" t="inlineStr">
        <is>
          <t>None</t>
        </is>
      </c>
    </row>
    <row r="11">
      <c r="B11" s="4" t="inlineStr">
        <is>
          <t>W2</t>
        </is>
      </c>
      <c r="C11" s="4" t="inlineStr">
        <is>
          <t>Onboarding flow: first-use wizard, sample content</t>
        </is>
      </c>
      <c r="D11" s="4" t="inlineStr">
        <is>
          <t>UX+Dev</t>
        </is>
      </c>
      <c r="E11" s="30" t="inlineStr">
        <is>
          <t>$800</t>
        </is>
      </c>
      <c r="F11" s="41" t="inlineStr">
        <is>
          <t>P0</t>
        </is>
      </c>
      <c r="G11" s="23" t="inlineStr">
        <is>
          <t>None</t>
        </is>
      </c>
    </row>
    <row r="12">
      <c r="B12" s="4" t="inlineStr">
        <is>
          <t>W2</t>
        </is>
      </c>
      <c r="C12" s="4" t="inlineStr">
        <is>
          <t>Email sequences: welcome, activation, day-3 nudge</t>
        </is>
      </c>
      <c r="D12" s="4" t="inlineStr">
        <is>
          <t>Copywriter</t>
        </is>
      </c>
      <c r="E12" s="30" t="inlineStr">
        <is>
          <t>$400</t>
        </is>
      </c>
      <c r="F12" s="41" t="inlineStr">
        <is>
          <t>P0</t>
        </is>
      </c>
      <c r="G12" s="23" t="inlineStr">
        <is>
          <t>Resend setup</t>
        </is>
      </c>
    </row>
    <row r="13">
      <c r="B13" s="4" t="inlineStr">
        <is>
          <t>W2</t>
        </is>
      </c>
      <c r="C13" s="4" t="inlineStr">
        <is>
          <t>Performance optimization: Lighthouse 90+, Core Web Vitals</t>
        </is>
      </c>
      <c r="D13" s="4" t="inlineStr">
        <is>
          <t>Developer</t>
        </is>
      </c>
      <c r="E13" s="30" t="inlineStr">
        <is>
          <t>$300</t>
        </is>
      </c>
      <c r="F13" s="42" t="inlineStr">
        <is>
          <t>P1</t>
        </is>
      </c>
      <c r="G13" s="23" t="inlineStr">
        <is>
          <t>None</t>
        </is>
      </c>
    </row>
    <row r="14">
      <c r="B14" s="4" t="inlineStr">
        <is>
          <t>W2</t>
        </is>
      </c>
      <c r="C14" s="4" t="inlineStr">
        <is>
          <t>Security audit: OWASP scan, pen test, rate limiting</t>
        </is>
      </c>
      <c r="D14" s="4" t="inlineStr">
        <is>
          <t>Security</t>
        </is>
      </c>
      <c r="E14" s="30" t="inlineStr">
        <is>
          <t>$1,000</t>
        </is>
      </c>
      <c r="F14" s="41" t="inlineStr">
        <is>
          <t>P0</t>
        </is>
      </c>
      <c r="G14" s="23" t="inlineStr">
        <is>
          <t>None</t>
        </is>
      </c>
    </row>
    <row r="15">
      <c r="B15" s="4" t="inlineStr">
        <is>
          <t>W2</t>
        </is>
      </c>
      <c r="C15" s="4" t="inlineStr">
        <is>
          <t>QA: cross-browser, mobile, RTL, accessibility</t>
        </is>
      </c>
      <c r="D15" s="4" t="inlineStr">
        <is>
          <t>QA Tester</t>
        </is>
      </c>
      <c r="E15" s="30" t="inlineStr">
        <is>
          <t>$600</t>
        </is>
      </c>
      <c r="F15" s="41" t="inlineStr">
        <is>
          <t>P0</t>
        </is>
      </c>
      <c r="G15" s="23" t="inlineStr">
        <is>
          <t>None</t>
        </is>
      </c>
    </row>
    <row r="16">
      <c r="B16" s="4" t="inlineStr">
        <is>
          <t>W2</t>
        </is>
      </c>
      <c r="C16" s="4" t="inlineStr">
        <is>
          <t>Social media: create accounts, schedule launch posts</t>
        </is>
      </c>
      <c r="D16" s="4" t="inlineStr">
        <is>
          <t>Marketing</t>
        </is>
      </c>
      <c r="E16" s="30" t="inlineStr">
        <is>
          <t>$200</t>
        </is>
      </c>
      <c r="F16" s="42" t="inlineStr">
        <is>
          <t>P1</t>
        </is>
      </c>
      <c r="G16" s="23" t="inlineStr">
        <is>
          <t>Brand assets</t>
        </is>
      </c>
    </row>
    <row r="17">
      <c r="B17" s="5" t="inlineStr">
        <is>
          <t>PHASE 2: SOFT LAUNCH (Weeks 3-4)</t>
        </is>
      </c>
      <c r="C17" s="6" t="n"/>
      <c r="D17" s="6" t="n"/>
      <c r="E17" s="6" t="n"/>
      <c r="F17" s="6" t="n"/>
      <c r="G17" s="6" t="n"/>
    </row>
    <row r="18">
      <c r="B18" s="4" t="inlineStr">
        <is>
          <t>W3</t>
        </is>
      </c>
      <c r="C18" s="4" t="inlineStr">
        <is>
          <t>Beta invites: 50 users from waitlist / networks</t>
        </is>
      </c>
      <c r="D18" s="4" t="inlineStr">
        <is>
          <t>Founder</t>
        </is>
      </c>
      <c r="E18" s="30" t="inlineStr">
        <is>
          <t>$0</t>
        </is>
      </c>
      <c r="F18" s="41" t="inlineStr">
        <is>
          <t>P0</t>
        </is>
      </c>
      <c r="G18" s="23" t="inlineStr">
        <is>
          <t>Phase 1 done</t>
        </is>
      </c>
    </row>
    <row r="19">
      <c r="B19" s="4" t="inlineStr">
        <is>
          <t>W3</t>
        </is>
      </c>
      <c r="C19" s="4" t="inlineStr">
        <is>
          <t>Feedback loop: in-app feedback widget + interviews</t>
        </is>
      </c>
      <c r="D19" s="4" t="inlineStr">
        <is>
          <t>Developer</t>
        </is>
      </c>
      <c r="E19" s="30" t="inlineStr">
        <is>
          <t>$0</t>
        </is>
      </c>
      <c r="F19" s="41" t="inlineStr">
        <is>
          <t>P0</t>
        </is>
      </c>
      <c r="G19" s="23" t="inlineStr">
        <is>
          <t>Beta users</t>
        </is>
      </c>
    </row>
    <row r="20">
      <c r="B20" s="4" t="inlineStr">
        <is>
          <t>W3</t>
        </is>
      </c>
      <c r="C20" s="4" t="inlineStr">
        <is>
          <t>Content marketing: 3 blog posts (SEO-optimized)</t>
        </is>
      </c>
      <c r="D20" s="4" t="inlineStr">
        <is>
          <t>Writer</t>
        </is>
      </c>
      <c r="E20" s="30" t="inlineStr">
        <is>
          <t>$600</t>
        </is>
      </c>
      <c r="F20" s="42" t="inlineStr">
        <is>
          <t>P1</t>
        </is>
      </c>
      <c r="G20" s="23" t="inlineStr">
        <is>
          <t>SEO audit</t>
        </is>
      </c>
    </row>
    <row r="21">
      <c r="B21" s="4" t="inlineStr">
        <is>
          <t>W3</t>
        </is>
      </c>
      <c r="C21" s="4" t="inlineStr">
        <is>
          <t>Product Hunt: prep listing, screenshots, GIF demos</t>
        </is>
      </c>
      <c r="D21" s="4" t="inlineStr">
        <is>
          <t>Marketing</t>
        </is>
      </c>
      <c r="E21" s="30" t="inlineStr">
        <is>
          <t>$200</t>
        </is>
      </c>
      <c r="F21" s="42" t="inlineStr">
        <is>
          <t>P1</t>
        </is>
      </c>
      <c r="G21" s="23" t="inlineStr">
        <is>
          <t>Beta feedback</t>
        </is>
      </c>
    </row>
    <row r="22">
      <c r="B22" s="4" t="inlineStr">
        <is>
          <t>W4</t>
        </is>
      </c>
      <c r="C22" s="4" t="inlineStr">
        <is>
          <t>Bug fixing sprint based on beta feedback</t>
        </is>
      </c>
      <c r="D22" s="4" t="inlineStr">
        <is>
          <t>Developer</t>
        </is>
      </c>
      <c r="E22" s="30" t="inlineStr">
        <is>
          <t>$0</t>
        </is>
      </c>
      <c r="F22" s="41" t="inlineStr">
        <is>
          <t>P0</t>
        </is>
      </c>
      <c r="G22" s="23" t="inlineStr">
        <is>
          <t>Beta feedback</t>
        </is>
      </c>
    </row>
    <row r="23">
      <c r="B23" s="4" t="inlineStr">
        <is>
          <t>W4</t>
        </is>
      </c>
      <c r="C23" s="4" t="inlineStr">
        <is>
          <t>App Store Optimization (if PWA)</t>
        </is>
      </c>
      <c r="D23" s="4" t="inlineStr">
        <is>
          <t>Marketing</t>
        </is>
      </c>
      <c r="E23" s="30" t="inlineStr">
        <is>
          <t>$300</t>
        </is>
      </c>
      <c r="F23" s="42" t="inlineStr">
        <is>
          <t>P2</t>
        </is>
      </c>
      <c r="G23" s="23" t="inlineStr">
        <is>
          <t>None</t>
        </is>
      </c>
    </row>
    <row r="24">
      <c r="B24" s="4" t="inlineStr">
        <is>
          <t>W4</t>
        </is>
      </c>
      <c r="C24" s="4" t="inlineStr">
        <is>
          <t>Referral system: invite friends for premium credits</t>
        </is>
      </c>
      <c r="D24" s="4" t="inlineStr">
        <is>
          <t>Developer</t>
        </is>
      </c>
      <c r="E24" s="30" t="inlineStr">
        <is>
          <t>$300</t>
        </is>
      </c>
      <c r="F24" s="42" t="inlineStr">
        <is>
          <t>P1</t>
        </is>
      </c>
      <c r="G24" s="23" t="inlineStr">
        <is>
          <t>Stripe ready</t>
        </is>
      </c>
    </row>
    <row r="25">
      <c r="B25" s="4" t="inlineStr">
        <is>
          <t>W4</t>
        </is>
      </c>
      <c r="C25" s="4" t="inlineStr">
        <is>
          <t>Testimonials: collect from beta users</t>
        </is>
      </c>
      <c r="D25" s="4" t="inlineStr">
        <is>
          <t>Founder</t>
        </is>
      </c>
      <c r="E25" s="30" t="inlineStr">
        <is>
          <t>$0</t>
        </is>
      </c>
      <c r="F25" s="42" t="inlineStr">
        <is>
          <t>P1</t>
        </is>
      </c>
      <c r="G25" s="23" t="inlineStr">
        <is>
          <t>Beta users</t>
        </is>
      </c>
    </row>
    <row r="26">
      <c r="B26" s="5" t="inlineStr">
        <is>
          <t>PHASE 3: PUBLIC LAUNCH (Weeks 5-8)</t>
        </is>
      </c>
      <c r="C26" s="6" t="n"/>
      <c r="D26" s="6" t="n"/>
      <c r="E26" s="6" t="n"/>
      <c r="F26" s="6" t="n"/>
      <c r="G26" s="6" t="n"/>
    </row>
    <row r="27">
      <c r="B27" s="4" t="inlineStr">
        <is>
          <t>W5</t>
        </is>
      </c>
      <c r="C27" s="4" t="inlineStr">
        <is>
          <t>Product Hunt launch day</t>
        </is>
      </c>
      <c r="D27" s="4" t="inlineStr">
        <is>
          <t>Founder+Team</t>
        </is>
      </c>
      <c r="E27" s="30" t="inlineStr">
        <is>
          <t>$0</t>
        </is>
      </c>
      <c r="F27" s="41" t="inlineStr">
        <is>
          <t>P0</t>
        </is>
      </c>
      <c r="G27" s="23" t="inlineStr">
        <is>
          <t>PH listing ready</t>
        </is>
      </c>
    </row>
    <row r="28">
      <c r="B28" s="4" t="inlineStr">
        <is>
          <t>W5</t>
        </is>
      </c>
      <c r="C28" s="4" t="inlineStr">
        <is>
          <t>Press outreach: EdTech blogs, TechCrunch, etc.</t>
        </is>
      </c>
      <c r="D28" s="4" t="inlineStr">
        <is>
          <t>PR Agency</t>
        </is>
      </c>
      <c r="E28" s="30" t="inlineStr">
        <is>
          <t>$1,200</t>
        </is>
      </c>
      <c r="F28" s="42" t="inlineStr">
        <is>
          <t>P1</t>
        </is>
      </c>
      <c r="G28" s="23" t="inlineStr">
        <is>
          <t>Press kit</t>
        </is>
      </c>
    </row>
    <row r="29">
      <c r="B29" s="4" t="inlineStr">
        <is>
          <t>W5</t>
        </is>
      </c>
      <c r="C29" s="4" t="inlineStr">
        <is>
          <t>Google Ads campaign: EdTech keywords</t>
        </is>
      </c>
      <c r="D29" s="4" t="inlineStr">
        <is>
          <t>Marketing</t>
        </is>
      </c>
      <c r="E29" s="30" t="inlineStr">
        <is>
          <t>$1,000/mo</t>
        </is>
      </c>
      <c r="F29" s="42" t="inlineStr">
        <is>
          <t>P1</t>
        </is>
      </c>
      <c r="G29" s="23" t="inlineStr">
        <is>
          <t>Landing page</t>
        </is>
      </c>
    </row>
    <row r="30">
      <c r="B30" s="4" t="inlineStr">
        <is>
          <t>W5</t>
        </is>
      </c>
      <c r="C30" s="4" t="inlineStr">
        <is>
          <t>Social media ads: Instagram, TikTok (student demo)</t>
        </is>
      </c>
      <c r="D30" s="4" t="inlineStr">
        <is>
          <t>Marketing</t>
        </is>
      </c>
      <c r="E30" s="30" t="inlineStr">
        <is>
          <t>$500/mo</t>
        </is>
      </c>
      <c r="F30" s="42" t="inlineStr">
        <is>
          <t>P1</t>
        </is>
      </c>
      <c r="G30" s="23" t="inlineStr">
        <is>
          <t>Creative assets</t>
        </is>
      </c>
    </row>
    <row r="31">
      <c r="B31" s="4" t="inlineStr">
        <is>
          <t>W6</t>
        </is>
      </c>
      <c r="C31" s="4" t="inlineStr">
        <is>
          <t>YouTube tutorial: 'How NoteSnap works' (2-3 min)</t>
        </is>
      </c>
      <c r="D31" s="4" t="inlineStr">
        <is>
          <t>Video prod.</t>
        </is>
      </c>
      <c r="E31" s="30" t="inlineStr">
        <is>
          <t>$800</t>
        </is>
      </c>
      <c r="F31" s="42" t="inlineStr">
        <is>
          <t>P1</t>
        </is>
      </c>
      <c r="G31" s="23" t="inlineStr">
        <is>
          <t>None</t>
        </is>
      </c>
    </row>
    <row r="32">
      <c r="B32" s="4" t="inlineStr">
        <is>
          <t>W6</t>
        </is>
      </c>
      <c r="C32" s="4" t="inlineStr">
        <is>
          <t>University/school outreach: pilot programs</t>
        </is>
      </c>
      <c r="D32" s="4" t="inlineStr">
        <is>
          <t>BD</t>
        </is>
      </c>
      <c r="E32" s="30" t="inlineStr">
        <is>
          <t>$0</t>
        </is>
      </c>
      <c r="F32" s="42" t="inlineStr">
        <is>
          <t>P2</t>
        </is>
      </c>
      <c r="G32" s="23" t="inlineStr">
        <is>
          <t>Product stable</t>
        </is>
      </c>
    </row>
    <row r="33">
      <c r="B33" s="4" t="inlineStr">
        <is>
          <t>W7</t>
        </is>
      </c>
      <c r="C33" s="4" t="inlineStr">
        <is>
          <t>Influencer partnerships: EdTech YouTubers/TikTokers</t>
        </is>
      </c>
      <c r="D33" s="4" t="inlineStr">
        <is>
          <t>Marketing</t>
        </is>
      </c>
      <c r="E33" s="30" t="inlineStr">
        <is>
          <t>$1,000-3,000</t>
        </is>
      </c>
      <c r="F33" s="42" t="inlineStr">
        <is>
          <t>P1</t>
        </is>
      </c>
      <c r="G33" s="23" t="inlineStr">
        <is>
          <t>Budget approval</t>
        </is>
      </c>
    </row>
    <row r="34">
      <c r="B34" s="4" t="inlineStr">
        <is>
          <t>W7</t>
        </is>
      </c>
      <c r="C34" s="4" t="inlineStr">
        <is>
          <t>Community: Discord/Telegram group for users</t>
        </is>
      </c>
      <c r="D34" s="4" t="inlineStr">
        <is>
          <t>Community mgr</t>
        </is>
      </c>
      <c r="E34" s="30" t="inlineStr">
        <is>
          <t>$200</t>
        </is>
      </c>
      <c r="F34" s="42" t="inlineStr">
        <is>
          <t>P2</t>
        </is>
      </c>
      <c r="G34" s="23" t="inlineStr">
        <is>
          <t>100+ users</t>
        </is>
      </c>
    </row>
    <row r="35">
      <c r="B35" s="4" t="inlineStr">
        <is>
          <t>W8</t>
        </is>
      </c>
      <c r="C35" s="4" t="inlineStr">
        <is>
          <t>Iteration sprint: top feedback → feature updates</t>
        </is>
      </c>
      <c r="D35" s="4" t="inlineStr">
        <is>
          <t>Developer</t>
        </is>
      </c>
      <c r="E35" s="30" t="inlineStr">
        <is>
          <t>$0</t>
        </is>
      </c>
      <c r="F35" s="41" t="inlineStr">
        <is>
          <t>P0</t>
        </is>
      </c>
      <c r="G35" s="23" t="inlineStr">
        <is>
          <t>User data</t>
        </is>
      </c>
    </row>
    <row r="36">
      <c r="B36" s="4" t="inlineStr">
        <is>
          <t>W8</t>
        </is>
      </c>
      <c r="C36" s="4" t="inlineStr">
        <is>
          <t>A/B test pricing page for conversion optimization</t>
        </is>
      </c>
      <c r="D36" s="4" t="inlineStr">
        <is>
          <t>Developer</t>
        </is>
      </c>
      <c r="E36" s="30" t="inlineStr">
        <is>
          <t>$0</t>
        </is>
      </c>
      <c r="F36" s="42" t="inlineStr">
        <is>
          <t>P1</t>
        </is>
      </c>
      <c r="G36" s="23" t="inlineStr">
        <is>
          <t>Traffic data</t>
        </is>
      </c>
    </row>
    <row r="37">
      <c r="B37" s="5" t="inlineStr">
        <is>
          <t>PHASE 4: GROWTH (Months 3-12)</t>
        </is>
      </c>
      <c r="C37" s="6" t="n"/>
      <c r="D37" s="6" t="n"/>
      <c r="E37" s="6" t="n"/>
      <c r="F37" s="6" t="n"/>
      <c r="G37" s="6" t="n"/>
    </row>
    <row r="38">
      <c r="B38" s="4" t="inlineStr">
        <is>
          <t>M3</t>
        </is>
      </c>
      <c r="C38" s="4" t="inlineStr">
        <is>
          <t>Retention optimization: reduce churn with engagement hooks</t>
        </is>
      </c>
      <c r="D38" s="4" t="inlineStr">
        <is>
          <t>Developer</t>
        </is>
      </c>
      <c r="E38" s="30" t="inlineStr">
        <is>
          <t>$0</t>
        </is>
      </c>
      <c r="F38" s="41" t="inlineStr">
        <is>
          <t>P0</t>
        </is>
      </c>
      <c r="G38" s="23" t="inlineStr">
        <is>
          <t>Churn data</t>
        </is>
      </c>
    </row>
    <row r="39">
      <c r="B39" s="4" t="inlineStr">
        <is>
          <t>M3</t>
        </is>
      </c>
      <c r="C39" s="4" t="inlineStr">
        <is>
          <t>Localization: expand to 3-5 more languages</t>
        </is>
      </c>
      <c r="D39" s="4" t="inlineStr">
        <is>
          <t>Translators</t>
        </is>
      </c>
      <c r="E39" s="30" t="inlineStr">
        <is>
          <t>$2,000</t>
        </is>
      </c>
      <c r="F39" s="42" t="inlineStr">
        <is>
          <t>P1</t>
        </is>
      </c>
      <c r="G39" s="23" t="inlineStr">
        <is>
          <t>i18n framework</t>
        </is>
      </c>
    </row>
    <row r="40">
      <c r="B40" s="4" t="inlineStr">
        <is>
          <t>M4</t>
        </is>
      </c>
      <c r="C40" s="4" t="inlineStr">
        <is>
          <t>API/SDK: allow schools to integrate NoteSnap</t>
        </is>
      </c>
      <c r="D40" s="4" t="inlineStr">
        <is>
          <t>Developer</t>
        </is>
      </c>
      <c r="E40" s="30" t="inlineStr">
        <is>
          <t>$0</t>
        </is>
      </c>
      <c r="F40" s="42" t="inlineStr">
        <is>
          <t>P2</t>
        </is>
      </c>
      <c r="G40" s="23" t="inlineStr">
        <is>
          <t>Product stable</t>
        </is>
      </c>
    </row>
    <row r="41">
      <c r="B41" s="4" t="inlineStr">
        <is>
          <t>M4</t>
        </is>
      </c>
      <c r="C41" s="4" t="inlineStr">
        <is>
          <t>Teacher dashboard: class management features</t>
        </is>
      </c>
      <c r="D41" s="4" t="inlineStr">
        <is>
          <t>Developer</t>
        </is>
      </c>
      <c r="E41" s="30" t="inlineStr">
        <is>
          <t>$0</t>
        </is>
      </c>
      <c r="F41" s="42" t="inlineStr">
        <is>
          <t>P1</t>
        </is>
      </c>
      <c r="G41" s="23" t="inlineStr">
        <is>
          <t>School pilots</t>
        </is>
      </c>
    </row>
    <row r="42">
      <c r="B42" s="4" t="inlineStr">
        <is>
          <t>M6</t>
        </is>
      </c>
      <c r="C42" s="4" t="inlineStr">
        <is>
          <t>Mobile app (React Native or native)</t>
        </is>
      </c>
      <c r="D42" s="4" t="inlineStr">
        <is>
          <t>Developer</t>
        </is>
      </c>
      <c r="E42" s="30" t="inlineStr">
        <is>
          <t>$5,000-15,000</t>
        </is>
      </c>
      <c r="F42" s="42" t="inlineStr">
        <is>
          <t>P2</t>
        </is>
      </c>
      <c r="G42" s="23" t="inlineStr">
        <is>
          <t>Web stable</t>
        </is>
      </c>
    </row>
    <row r="43">
      <c r="B43" s="4" t="inlineStr">
        <is>
          <t>M6</t>
        </is>
      </c>
      <c r="C43" s="4" t="inlineStr">
        <is>
          <t>Enterprise plan: school/university licensing</t>
        </is>
      </c>
      <c r="D43" s="4" t="inlineStr">
        <is>
          <t>BD+Legal</t>
        </is>
      </c>
      <c r="E43" s="30" t="inlineStr">
        <is>
          <t>$2,000</t>
        </is>
      </c>
      <c r="F43" s="42" t="inlineStr">
        <is>
          <t>P1</t>
        </is>
      </c>
      <c r="G43" s="23" t="inlineStr">
        <is>
          <t>Teacher dashboard</t>
        </is>
      </c>
    </row>
    <row r="44">
      <c r="B44" s="4" t="inlineStr">
        <is>
          <t>M9</t>
        </is>
      </c>
      <c r="C44" s="4" t="inlineStr">
        <is>
          <t>Series A prep: metrics deck, financial model</t>
        </is>
      </c>
      <c r="D44" s="4" t="inlineStr">
        <is>
          <t>Founder+CFO</t>
        </is>
      </c>
      <c r="E44" s="30" t="inlineStr">
        <is>
          <t>$3,000</t>
        </is>
      </c>
      <c r="F44" s="42" t="inlineStr">
        <is>
          <t>P1</t>
        </is>
      </c>
      <c r="G44" s="23" t="inlineStr">
        <is>
          <t>Traction</t>
        </is>
      </c>
    </row>
    <row r="45">
      <c r="B45" s="4" t="inlineStr">
        <is>
          <t>M12</t>
        </is>
      </c>
      <c r="C45" s="4" t="inlineStr">
        <is>
          <t>Review: annual metrics, pivot/scale decisions</t>
        </is>
      </c>
      <c r="D45" s="4" t="inlineStr">
        <is>
          <t>Team</t>
        </is>
      </c>
      <c r="E45" s="30" t="inlineStr">
        <is>
          <t>$0</t>
        </is>
      </c>
      <c r="F45" s="41" t="inlineStr">
        <is>
          <t>P0</t>
        </is>
      </c>
      <c r="G45" s="23" t="inlineStr">
        <is>
          <t>12-mo data</t>
        </is>
      </c>
    </row>
  </sheetData>
  <mergeCells count="5">
    <mergeCell ref="B37:G37"/>
    <mergeCell ref="B17:G17"/>
    <mergeCell ref="B1:G1"/>
    <mergeCell ref="B4:G4"/>
    <mergeCell ref="B26:G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91E63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40" customWidth="1" min="5" max="5"/>
    <col width="3" customWidth="1" min="6" max="6"/>
  </cols>
  <sheetData>
    <row r="1" ht="40" customHeight="1">
      <c r="B1" s="1" t="inlineStr">
        <is>
          <t>Risk Analysis &amp; Mitigation</t>
        </is>
      </c>
      <c r="C1" s="2" t="n"/>
      <c r="D1" s="2" t="n"/>
      <c r="E1" s="2" t="n"/>
    </row>
    <row r="3">
      <c r="A3" s="7" t="n"/>
      <c r="B3" s="7" t="inlineStr">
        <is>
          <t>Risk</t>
        </is>
      </c>
      <c r="C3" s="7" t="inlineStr">
        <is>
          <t>Probability</t>
        </is>
      </c>
      <c r="D3" s="7" t="inlineStr">
        <is>
          <t>Impact</t>
        </is>
      </c>
      <c r="E3" s="7" t="inlineStr">
        <is>
          <t>Mitigation</t>
        </is>
      </c>
    </row>
    <row r="4" ht="35" customHeight="1">
      <c r="B4" s="4" t="inlineStr">
        <is>
          <t>AI API costs exceed projections</t>
        </is>
      </c>
      <c r="C4" s="43" t="inlineStr">
        <is>
          <t>Medium</t>
        </is>
      </c>
      <c r="D4" s="44" t="inlineStr">
        <is>
          <t>High</t>
        </is>
      </c>
      <c r="E4" s="45" t="inlineStr">
        <is>
          <t>Implement usage caps per user tier; cache common responses; use Haiku for simple tasks</t>
        </is>
      </c>
    </row>
    <row r="5" ht="35" customHeight="1">
      <c r="B5" s="4" t="inlineStr">
        <is>
          <t>Low user conversion to paid</t>
        </is>
      </c>
      <c r="C5" s="44" t="inlineStr">
        <is>
          <t>High</t>
        </is>
      </c>
      <c r="D5" s="44" t="inlineStr">
        <is>
          <t>High</t>
        </is>
      </c>
      <c r="E5" s="45" t="inlineStr">
        <is>
          <t>A/B test pricing; offer annual discount; strong onboarding; free tier with clear upgrade path</t>
        </is>
      </c>
    </row>
    <row r="6" ht="35" customHeight="1">
      <c r="B6" s="4" t="inlineStr">
        <is>
          <t>Claude API rate limits / outages</t>
        </is>
      </c>
      <c r="C6" s="46" t="inlineStr">
        <is>
          <t>Low</t>
        </is>
      </c>
      <c r="D6" s="44" t="inlineStr">
        <is>
          <t>Critical</t>
        </is>
      </c>
      <c r="E6" s="45" t="inlineStr">
        <is>
          <t>Implement request queuing; graceful degradation; fallback to cached content</t>
        </is>
      </c>
    </row>
    <row r="7" ht="35" customHeight="1">
      <c r="B7" s="4" t="inlineStr">
        <is>
          <t>Competitor launches similar product</t>
        </is>
      </c>
      <c r="C7" s="43" t="inlineStr">
        <is>
          <t>Medium</t>
        </is>
      </c>
      <c r="D7" s="43" t="inlineStr">
        <is>
          <t>Medium</t>
        </is>
      </c>
      <c r="E7" s="45" t="inlineStr">
        <is>
          <t>Focus on niche (Hebrew+English); build community moat; iterate faster</t>
        </is>
      </c>
    </row>
    <row r="8" ht="35" customHeight="1">
      <c r="B8" s="4" t="inlineStr">
        <is>
          <t>GDPR / data privacy issues</t>
        </is>
      </c>
      <c r="C8" s="46" t="inlineStr">
        <is>
          <t>Low</t>
        </is>
      </c>
      <c r="D8" s="44" t="inlineStr">
        <is>
          <t>Critical</t>
        </is>
      </c>
      <c r="E8" s="45" t="inlineStr">
        <is>
          <t>Hire legal counsel; data residency in EU; privacy-by-design architecture</t>
        </is>
      </c>
    </row>
    <row r="9" ht="35" customHeight="1">
      <c r="B9" s="4" t="inlineStr">
        <is>
          <t>Technical debt slows development</t>
        </is>
      </c>
      <c r="C9" s="43" t="inlineStr">
        <is>
          <t>Medium</t>
        </is>
      </c>
      <c r="D9" s="43" t="inlineStr">
        <is>
          <t>Medium</t>
        </is>
      </c>
      <c r="E9" s="45" t="inlineStr">
        <is>
          <t>Allocate 20% sprint time to refactoring; maintain test coverage &gt;80%</t>
        </is>
      </c>
    </row>
    <row r="10" ht="35" customHeight="1">
      <c r="B10" s="4" t="inlineStr">
        <is>
          <t>Single founder burnout</t>
        </is>
      </c>
      <c r="C10" s="44" t="inlineStr">
        <is>
          <t>High</t>
        </is>
      </c>
      <c r="D10" s="44" t="inlineStr">
        <is>
          <t>Critical</t>
        </is>
      </c>
      <c r="E10" s="45" t="inlineStr">
        <is>
          <t>Hire key contractor early; automate operations; set sustainable pace</t>
        </is>
      </c>
    </row>
    <row r="11" ht="35" customHeight="1">
      <c r="B11" s="4" t="inlineStr">
        <is>
          <t>Supabase free tier limits hit</t>
        </is>
      </c>
      <c r="C11" s="43" t="inlineStr">
        <is>
          <t>Medium</t>
        </is>
      </c>
      <c r="D11" s="46" t="inlineStr">
        <is>
          <t>Low</t>
        </is>
      </c>
      <c r="E11" s="45" t="inlineStr">
        <is>
          <t>Monitor usage; upgrade plan proactively; optimize queries</t>
        </is>
      </c>
    </row>
    <row r="12" ht="35" customHeight="1">
      <c r="B12" s="4" t="inlineStr">
        <is>
          <t>Student data sensitivity concerns</t>
        </is>
      </c>
      <c r="C12" s="43" t="inlineStr">
        <is>
          <t>Medium</t>
        </is>
      </c>
      <c r="D12" s="44" t="inlineStr">
        <is>
          <t>High</t>
        </is>
      </c>
      <c r="E12" s="45" t="inlineStr">
        <is>
          <t>No PII collection; anonymized analytics; parental consent flow</t>
        </is>
      </c>
    </row>
    <row r="13" ht="35" customHeight="1">
      <c r="B13" s="4" t="inlineStr">
        <is>
          <t>Exchange rate risk (USD costs, local revenue)</t>
        </is>
      </c>
      <c r="C13" s="43" t="inlineStr">
        <is>
          <t>Medium</t>
        </is>
      </c>
      <c r="D13" s="43" t="inlineStr">
        <is>
          <t>Medium</t>
        </is>
      </c>
      <c r="E13" s="45" t="inlineStr">
        <is>
          <t>Price in USD globally; hedge with multi-currency Stripe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2026-03-27T16:23:57Z</dcterms:created>
  <dcterms:modified xmlns:dcterms="http://purl.org/dc/terms/" xmlns:xsi="http://www.w3.org/2001/XMLSchema-instance" xsi:type="dcterms:W3CDTF">2026-03-27T16:23:57Z</dcterms:modified>
</cp:coreProperties>
</file>